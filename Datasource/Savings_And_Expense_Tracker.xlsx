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1"/>
  <workbookPr updateLinks="always" defaultThemeVersion="166925"/>
  <mc:AlternateContent xmlns:mc="http://schemas.openxmlformats.org/markup-compatibility/2006">
    <mc:Choice Requires="x15">
      <x15ac:absPath xmlns:x15ac="http://schemas.microsoft.com/office/spreadsheetml/2010/11/ac" url="D:\ZZZ_No_Sync_Folder\wealth-dashboard\Excel Trackers\"/>
    </mc:Choice>
  </mc:AlternateContent>
  <xr:revisionPtr revIDLastSave="26097" documentId="11_E60897F41BE170836B02CE998F75CCDC64E183C8" xr6:coauthVersionLast="47" xr6:coauthVersionMax="47" xr10:uidLastSave="{38C329C7-A7DD-45FF-81B0-C09256EC551D}"/>
  <bookViews>
    <workbookView xWindow="28680" yWindow="-120" windowWidth="29040" windowHeight="15720" tabRatio="456" xr2:uid="{00000000-000D-0000-FFFF-FFFF00000000}"/>
  </bookViews>
  <sheets>
    <sheet name="Savings" sheetId="3" r:id="rId1"/>
    <sheet name="Wealth Projection" sheetId="8" r:id="rId2"/>
    <sheet name="Fixed Expenses" sheetId="10" r:id="rId3"/>
    <sheet name="Husband_Expenses" sheetId="7" r:id="rId4"/>
    <sheet name="Wife_Expenses" sheetId="11"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1" l="1"/>
  <c r="D18" i="11"/>
  <c r="D19" i="11"/>
  <c r="D25" i="11" s="1"/>
  <c r="B31" i="11" s="1"/>
  <c r="C31" i="11" s="1"/>
  <c r="D23" i="11"/>
  <c r="D22" i="11"/>
  <c r="D30" i="7"/>
  <c r="D25" i="7"/>
  <c r="E25" i="7"/>
  <c r="E20" i="7"/>
  <c r="E15" i="7"/>
  <c r="E10" i="7"/>
  <c r="E7" i="7"/>
  <c r="E3" i="7"/>
  <c r="E22" i="11"/>
  <c r="E17" i="11"/>
  <c r="E13" i="11"/>
  <c r="E10" i="11"/>
  <c r="E3" i="11"/>
  <c r="D13" i="11"/>
  <c r="C13" i="11"/>
  <c r="C15" i="7"/>
  <c r="D15" i="7" s="1"/>
  <c r="I2" i="10"/>
  <c r="E87" i="3" a="1"/>
  <c r="D87" i="3" a="1"/>
  <c r="C87" i="3" a="1"/>
  <c r="B87" i="3" a="1"/>
  <c r="E86" i="3" a="1"/>
  <c r="D86" i="3" a="1"/>
  <c r="C86" i="3" a="1"/>
  <c r="B86" i="3" a="1"/>
  <c r="D10" i="7"/>
  <c r="D5" i="7"/>
  <c r="D4" i="7"/>
  <c r="E89" i="3" a="1"/>
  <c r="E88" i="3" a="1"/>
  <c r="D89" i="3" a="1"/>
  <c r="D88" i="3" a="1"/>
  <c r="C89" i="3" a="1"/>
  <c r="C88" i="3" a="1"/>
  <c r="B85" i="3" a="1"/>
  <c r="B89" i="3" a="1"/>
  <c r="B88" i="3" a="1"/>
  <c r="B64" i="3" a="1"/>
  <c r="B90" i="3" a="1"/>
  <c r="B67" i="3" a="1"/>
  <c r="B68" i="3" a="1"/>
  <c r="B66" i="3" a="1"/>
  <c r="F38" i="3" s="1"/>
  <c r="B70" i="3" a="1"/>
  <c r="F40" i="3" s="1"/>
  <c r="B69" i="3" a="1"/>
  <c r="F41" i="3" s="1"/>
  <c r="B65" i="3" a="1"/>
  <c r="F42" i="3" s="1"/>
  <c r="B81" i="3" a="1"/>
  <c r="F43" i="3" s="1"/>
  <c r="B71" i="3" a="1"/>
  <c r="F45" i="3" s="1"/>
  <c r="B72" i="3" a="1"/>
  <c r="F46" i="3" s="1"/>
  <c r="B73" i="3" a="1"/>
  <c r="F47" i="3" s="1"/>
  <c r="B74" i="3" a="1"/>
  <c r="F33" i="3" s="1"/>
  <c r="B75" i="3" a="1"/>
  <c r="F48" i="3" s="1"/>
  <c r="B76" i="3" a="1"/>
  <c r="F49" i="3" s="1"/>
  <c r="B77" i="3" a="1"/>
  <c r="F32" i="3" s="1"/>
  <c r="B78" i="3" a="1"/>
  <c r="F39" i="3" s="1"/>
  <c r="B79" i="3" a="1"/>
  <c r="F34" i="3" s="1"/>
  <c r="B80" i="3" a="1"/>
  <c r="F50" i="3" s="1"/>
  <c r="B82" i="3" a="1"/>
  <c r="F51" i="3" s="1"/>
  <c r="B84" i="3" a="1"/>
  <c r="B83" i="3" a="1"/>
  <c r="C13" i="7"/>
  <c r="B2" i="10"/>
  <c r="F58" i="3"/>
  <c r="E84" i="3" a="1"/>
  <c r="D84" i="3" a="1"/>
  <c r="C84" i="3" a="1"/>
  <c r="E82" i="3" a="1"/>
  <c r="E83" i="3" a="1"/>
  <c r="E85" i="3" a="1"/>
  <c r="D82" i="3" a="1"/>
  <c r="D83" i="3" a="1"/>
  <c r="D85" i="3" a="1"/>
  <c r="C82" i="3" a="1"/>
  <c r="C83" i="3" a="1"/>
  <c r="C85" i="3" a="1"/>
  <c r="E66" i="3" a="1"/>
  <c r="D66" i="3" a="1"/>
  <c r="C66" i="3" a="1"/>
  <c r="E81" i="3" a="1"/>
  <c r="D81" i="3" a="1"/>
  <c r="C81" i="3" a="1"/>
  <c r="E70" i="3" a="1"/>
  <c r="E71" i="3" a="1"/>
  <c r="E72" i="3" a="1"/>
  <c r="E73" i="3" a="1"/>
  <c r="E74" i="3" a="1"/>
  <c r="E75" i="3" a="1"/>
  <c r="E76" i="3" a="1"/>
  <c r="E77" i="3" a="1"/>
  <c r="E78" i="3" a="1"/>
  <c r="E79" i="3" a="1"/>
  <c r="E80" i="3" a="1"/>
  <c r="D70" i="3" a="1"/>
  <c r="D71" i="3" a="1"/>
  <c r="D72" i="3" a="1"/>
  <c r="D73" i="3" a="1"/>
  <c r="D74" i="3" a="1"/>
  <c r="D75" i="3" a="1"/>
  <c r="D76" i="3" a="1"/>
  <c r="D77" i="3" a="1"/>
  <c r="D78" i="3" a="1"/>
  <c r="D79" i="3" a="1"/>
  <c r="D80" i="3" a="1"/>
  <c r="C70" i="3" a="1"/>
  <c r="C71" i="3" a="1"/>
  <c r="C72" i="3" a="1"/>
  <c r="C73" i="3" a="1"/>
  <c r="C74" i="3" a="1"/>
  <c r="C75" i="3" a="1"/>
  <c r="C76" i="3" a="1"/>
  <c r="C77" i="3" a="1"/>
  <c r="C78" i="3" a="1"/>
  <c r="C79" i="3" a="1"/>
  <c r="C80" i="3" a="1"/>
  <c r="E69" i="3" a="1"/>
  <c r="D69" i="3" a="1"/>
  <c r="C69" i="3" a="1"/>
  <c r="C68" i="3" a="1"/>
  <c r="D22" i="7"/>
  <c r="E90" i="3" a="1"/>
  <c r="D90" i="3" a="1"/>
  <c r="C90" i="3" a="1"/>
  <c r="D68" i="3" a="1"/>
  <c r="C65" i="3" a="1"/>
  <c r="D65" i="3" a="1"/>
  <c r="E65" i="3" a="1"/>
  <c r="E68" i="3" a="1"/>
  <c r="C64" i="3" a="1"/>
  <c r="D64" i="3" a="1"/>
  <c r="E64" i="3" a="1"/>
  <c r="C67" i="3" a="1"/>
  <c r="D67" i="3" a="1"/>
  <c r="E67" i="3" a="1"/>
  <c r="D23" i="7"/>
  <c r="D8" i="7"/>
  <c r="D24" i="7"/>
  <c r="D3" i="7"/>
  <c r="D20" i="7"/>
  <c r="E25" i="11" l="1"/>
  <c r="F35" i="3"/>
  <c r="F37" i="3"/>
  <c r="F52" i="3"/>
  <c r="F53" i="3"/>
  <c r="F54" i="3"/>
  <c r="F30" i="3"/>
  <c r="F31" i="3"/>
  <c r="F29" i="3"/>
  <c r="C9" i="8"/>
  <c r="F44" i="3"/>
  <c r="F36" i="3"/>
  <c r="G59" i="3" l="1"/>
  <c r="F59" i="3" s="1"/>
  <c r="B99" i="3"/>
  <c r="B98" i="3"/>
  <c r="B94" i="3"/>
  <c r="B97" i="3"/>
  <c r="B96" i="3"/>
  <c r="B95" i="3"/>
  <c r="B30" i="7" l="1"/>
  <c r="E22" i="7"/>
  <c r="E2" i="8"/>
  <c r="F2" i="8" l="1"/>
  <c r="G2" i="8" s="1"/>
  <c r="H2" i="8" s="1"/>
  <c r="I2" i="8" s="1"/>
  <c r="J2" i="8" s="1"/>
  <c r="K2" i="8" s="1"/>
  <c r="L2" i="8" s="1"/>
  <c r="M2" i="8" s="1"/>
  <c r="N2" i="8" s="1"/>
  <c r="O2" i="8" s="1"/>
  <c r="B20" i="8"/>
  <c r="C21"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7">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7"/>
        </ext>
      </extLst>
    </bk>
    <bk>
      <extLst>
        <ext uri="{3e2802c4-a4d2-4d8b-9148-e3be6c30e623}">
          <xlrd:rvb i="79"/>
        </ext>
      </extLst>
    </bk>
    <bk>
      <extLst>
        <ext uri="{3e2802c4-a4d2-4d8b-9148-e3be6c30e623}">
          <xlrd:rvb i="81"/>
        </ext>
      </extLst>
    </bk>
  </futureMetadata>
  <cellMetadata count="1">
    <bk>
      <rc t="1" v="0"/>
    </bk>
  </cellMetadata>
  <valueMetadata count="2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valueMetadata>
</metadata>
</file>

<file path=xl/sharedStrings.xml><?xml version="1.0" encoding="utf-8"?>
<sst xmlns="http://schemas.openxmlformats.org/spreadsheetml/2006/main" count="430" uniqueCount="199">
  <si>
    <t>Savings Instrument</t>
  </si>
  <si>
    <t>ROI (%)</t>
  </si>
  <si>
    <t>Inception Date</t>
  </si>
  <si>
    <t>Maturtiy Date</t>
  </si>
  <si>
    <t>Maturity/Investment Amount</t>
  </si>
  <si>
    <t>Savings Amount</t>
  </si>
  <si>
    <t>NOTES</t>
  </si>
  <si>
    <t>Savings Bank MIN BAL A/C</t>
  </si>
  <si>
    <t>SBI</t>
  </si>
  <si>
    <t>N/A</t>
  </si>
  <si>
    <t>HOLD</t>
  </si>
  <si>
    <t xml:space="preserve"> </t>
  </si>
  <si>
    <t>PNB</t>
  </si>
  <si>
    <t>HDFC</t>
  </si>
  <si>
    <t>ICICI</t>
  </si>
  <si>
    <t>Fixed Deposits</t>
  </si>
  <si>
    <r>
      <t xml:space="preserve">SBI </t>
    </r>
    <r>
      <rPr>
        <b/>
        <i/>
        <sz val="11"/>
        <color rgb="FF000000"/>
        <rFont val="Calibri"/>
      </rPr>
      <t>(Emergency Fund - Part 1)</t>
    </r>
  </si>
  <si>
    <t>-</t>
  </si>
  <si>
    <t>ALWAYS HOLD</t>
  </si>
  <si>
    <r>
      <rPr>
        <b/>
        <sz val="11"/>
        <color rgb="FF000000"/>
        <rFont val="Calibri"/>
      </rPr>
      <t xml:space="preserve">HDFC </t>
    </r>
    <r>
      <rPr>
        <b/>
        <i/>
        <sz val="11"/>
        <color rgb="FF000000"/>
        <rFont val="Calibri"/>
      </rPr>
      <t>(Cushion Fund - Part 1)</t>
    </r>
  </si>
  <si>
    <r>
      <t xml:space="preserve">HDFC </t>
    </r>
    <r>
      <rPr>
        <b/>
        <i/>
        <sz val="11"/>
        <color rgb="FF000000"/>
        <rFont val="Calibri"/>
      </rPr>
      <t>(Cushion Fund - Part 2)</t>
    </r>
  </si>
  <si>
    <t>24/12/2024</t>
  </si>
  <si>
    <t>24/07/2029</t>
  </si>
  <si>
    <r>
      <rPr>
        <b/>
        <sz val="11"/>
        <color rgb="FF000000"/>
        <rFont val="Calibri"/>
      </rPr>
      <t xml:space="preserve">HDFC </t>
    </r>
    <r>
      <rPr>
        <b/>
        <i/>
        <sz val="11"/>
        <color rgb="FF000000"/>
        <rFont val="Calibri"/>
      </rPr>
      <t>(Investment Fund - Part 1)</t>
    </r>
  </si>
  <si>
    <r>
      <rPr>
        <b/>
        <sz val="11"/>
        <color rgb="FF000000"/>
        <rFont val="Calibri"/>
      </rPr>
      <t xml:space="preserve">HDFC </t>
    </r>
    <r>
      <rPr>
        <b/>
        <i/>
        <sz val="11"/>
        <color rgb="FF000000"/>
        <rFont val="Calibri"/>
      </rPr>
      <t>(Investment Fund - Part 2)</t>
    </r>
  </si>
  <si>
    <r>
      <rPr>
        <b/>
        <sz val="11"/>
        <color rgb="FF000000"/>
        <rFont val="Calibri"/>
      </rPr>
      <t xml:space="preserve">PNB </t>
    </r>
    <r>
      <rPr>
        <b/>
        <i/>
        <sz val="11"/>
        <color rgb="FF000000"/>
        <rFont val="Calibri"/>
      </rPr>
      <t>(Investment Fund - Part 3)</t>
    </r>
  </si>
  <si>
    <t>27/07/2026</t>
  </si>
  <si>
    <t>14/10/2027</t>
  </si>
  <si>
    <r>
      <rPr>
        <b/>
        <sz val="11"/>
        <color rgb="FF000000"/>
        <rFont val="Calibri"/>
      </rPr>
      <t xml:space="preserve">PNB </t>
    </r>
    <r>
      <rPr>
        <b/>
        <i/>
        <sz val="11"/>
        <color rgb="FF000000"/>
        <rFont val="Calibri"/>
      </rPr>
      <t>(Investment Fund - Part 4)</t>
    </r>
  </si>
  <si>
    <t>ICICI - MOD Balance</t>
  </si>
  <si>
    <t>Pension Funds</t>
  </si>
  <si>
    <t>Employee Provident Fund</t>
  </si>
  <si>
    <t>29/12/2016</t>
  </si>
  <si>
    <t>National Pension Fund</t>
  </si>
  <si>
    <t>23/11/2020</t>
  </si>
  <si>
    <t>Debt Funds</t>
  </si>
  <si>
    <t>Public Provident Fund</t>
  </si>
  <si>
    <t>30/11/2020</t>
  </si>
  <si>
    <t>Equity - MF/ELSS</t>
  </si>
  <si>
    <t>ICICI Nifty50 Index Fund (DG)</t>
  </si>
  <si>
    <t>Manual</t>
  </si>
  <si>
    <t>Parag Parekh Flexi Cap Fund (DG)</t>
  </si>
  <si>
    <t>Quant Multi Asset Allocation Fund (DG)</t>
  </si>
  <si>
    <t>Quant Multi Cap Fund (DG)</t>
  </si>
  <si>
    <t>Equity - Indian Stokcs &amp; US ETFs</t>
  </si>
  <si>
    <t>Indian Equity/ETF</t>
  </si>
  <si>
    <t>NASDAQ: MSFT</t>
  </si>
  <si>
    <t>Live</t>
  </si>
  <si>
    <t>NASDAQ: ETF: QQQ</t>
  </si>
  <si>
    <t>NASDAQ: ETF: QQQM</t>
  </si>
  <si>
    <t>NASDAQ: META</t>
  </si>
  <si>
    <t>21/7/2025</t>
  </si>
  <si>
    <t>NASDAQ: DUOL</t>
  </si>
  <si>
    <t>NASDAQ: TMDX</t>
  </si>
  <si>
    <t>NASDAQ: SOUN</t>
  </si>
  <si>
    <t>NASDAQ: AMD</t>
  </si>
  <si>
    <t>NASDAQ: PLTR</t>
  </si>
  <si>
    <t>NASDAQ: ETF: S&amp;P500: VOO</t>
  </si>
  <si>
    <t>NASDAQ: NFLX</t>
  </si>
  <si>
    <t>NASDAQ: ETF: SOXX</t>
  </si>
  <si>
    <t>NASDAQ: ETF: EWS</t>
  </si>
  <si>
    <t>NASDAQ: GOOGL</t>
  </si>
  <si>
    <t>NASDAQ: UNH</t>
  </si>
  <si>
    <t>18/8/2025</t>
  </si>
  <si>
    <t>NASDAQ: RKLB</t>
  </si>
  <si>
    <t>NASDAQ: CRSP</t>
  </si>
  <si>
    <t>NASDAQ: ASML</t>
  </si>
  <si>
    <t>NASDAQ: AMZN</t>
  </si>
  <si>
    <t>NASDAQ: ASTS</t>
  </si>
  <si>
    <t>NASDAQ: BEAM</t>
  </si>
  <si>
    <t>NASDAQ: AAPL</t>
  </si>
  <si>
    <t>NASDAQ: IREN</t>
  </si>
  <si>
    <t>NASDAQ: CRWD</t>
  </si>
  <si>
    <t>IND Money Wallet + Dividends</t>
  </si>
  <si>
    <t>VESTED Wallet + MS Dividends</t>
  </si>
  <si>
    <t>Crypto Assets</t>
  </si>
  <si>
    <t>Bitcoin (BTC)</t>
  </si>
  <si>
    <t>Ethereum (ETH)</t>
  </si>
  <si>
    <t>CoinDCX Wallet</t>
  </si>
  <si>
    <r>
      <rPr>
        <b/>
        <sz val="11"/>
        <color rgb="FF000000"/>
        <rFont val="Calibri"/>
      </rPr>
      <t xml:space="preserve">TOTAL </t>
    </r>
    <r>
      <rPr>
        <b/>
        <i/>
        <sz val="11"/>
        <color rgb="FF000000"/>
        <rFont val="Calibri"/>
      </rPr>
      <t>(without Pension &amp; Emergency Funds)</t>
    </r>
    <r>
      <rPr>
        <b/>
        <sz val="11"/>
        <color rgb="FF000000"/>
        <rFont val="Calibri"/>
      </rPr>
      <t>:</t>
    </r>
  </si>
  <si>
    <t>Indian Mutual Fund</t>
  </si>
  <si>
    <t>Stock Name</t>
  </si>
  <si>
    <t>Current</t>
  </si>
  <si>
    <t>Change (%)</t>
  </si>
  <si>
    <t>52W Low</t>
  </si>
  <si>
    <t>52W High</t>
  </si>
  <si>
    <t>Instrument Type</t>
  </si>
  <si>
    <t>Distribution</t>
  </si>
  <si>
    <t>Emergency Fund</t>
  </si>
  <si>
    <t>Pension Fund</t>
  </si>
  <si>
    <r>
      <t xml:space="preserve">Debt Funds </t>
    </r>
    <r>
      <rPr>
        <i/>
        <sz val="11"/>
        <color rgb="FF000000"/>
        <rFont val="Calibri"/>
      </rPr>
      <t>(PPF, Cushion FDs, Savings)</t>
    </r>
  </si>
  <si>
    <r>
      <rPr>
        <sz val="12"/>
        <color rgb="FF000000"/>
        <rFont val="Calibri"/>
      </rPr>
      <t xml:space="preserve">Indian Equity </t>
    </r>
    <r>
      <rPr>
        <i/>
        <sz val="12"/>
        <color rgb="FF000000"/>
        <rFont val="Calibri"/>
      </rPr>
      <t>(MF, ETF, Stock)</t>
    </r>
  </si>
  <si>
    <r>
      <rPr>
        <sz val="12"/>
        <color rgb="FF000000"/>
        <rFont val="Calibri"/>
        <scheme val="minor"/>
      </rPr>
      <t xml:space="preserve">Foreign Equity </t>
    </r>
    <r>
      <rPr>
        <i/>
        <sz val="12"/>
        <color rgb="FF000000"/>
        <rFont val="Calibri"/>
        <scheme val="minor"/>
      </rPr>
      <t>(ETF, Stock)</t>
    </r>
  </si>
  <si>
    <t>Amount</t>
  </si>
  <si>
    <t>Total saved till today</t>
  </si>
  <si>
    <r>
      <rPr>
        <b/>
        <sz val="10"/>
        <color rgb="FF000000"/>
        <rFont val="Calibri"/>
      </rPr>
      <t xml:space="preserve">Projected Total by </t>
    </r>
    <r>
      <rPr>
        <b/>
        <i/>
        <sz val="10"/>
        <color rgb="FF000000"/>
        <rFont val="Calibri"/>
      </rPr>
      <t>May'26</t>
    </r>
  </si>
  <si>
    <r>
      <rPr>
        <b/>
        <sz val="10"/>
        <color rgb="FF000000"/>
        <rFont val="Calibri"/>
      </rPr>
      <t xml:space="preserve">Projected Total by </t>
    </r>
    <r>
      <rPr>
        <b/>
        <i/>
        <sz val="10"/>
        <color rgb="FF000000"/>
        <rFont val="Calibri"/>
      </rPr>
      <t>May'27</t>
    </r>
  </si>
  <si>
    <r>
      <rPr>
        <b/>
        <sz val="10"/>
        <color rgb="FF000000"/>
        <rFont val="Calibri"/>
      </rPr>
      <t xml:space="preserve">Projected Total by </t>
    </r>
    <r>
      <rPr>
        <b/>
        <i/>
        <sz val="10"/>
        <color rgb="FF000000"/>
        <rFont val="Calibri"/>
      </rPr>
      <t>May'28</t>
    </r>
  </si>
  <si>
    <r>
      <rPr>
        <b/>
        <sz val="10"/>
        <color rgb="FF000000"/>
        <rFont val="Calibri"/>
      </rPr>
      <t xml:space="preserve">Projected Total by </t>
    </r>
    <r>
      <rPr>
        <b/>
        <i/>
        <sz val="10"/>
        <color rgb="FF000000"/>
        <rFont val="Calibri"/>
      </rPr>
      <t>May'29</t>
    </r>
  </si>
  <si>
    <r>
      <rPr>
        <b/>
        <sz val="10"/>
        <color rgb="FF000000"/>
        <rFont val="Calibri"/>
      </rPr>
      <t xml:space="preserve">Projected Total by </t>
    </r>
    <r>
      <rPr>
        <b/>
        <i/>
        <sz val="10"/>
        <color rgb="FF000000"/>
        <rFont val="Calibri"/>
      </rPr>
      <t>May'30</t>
    </r>
  </si>
  <si>
    <r>
      <rPr>
        <b/>
        <sz val="10"/>
        <color rgb="FF000000"/>
        <rFont val="Calibri"/>
      </rPr>
      <t xml:space="preserve">Projected Total by </t>
    </r>
    <r>
      <rPr>
        <b/>
        <i/>
        <sz val="10"/>
        <color rgb="FF000000"/>
        <rFont val="Calibri"/>
      </rPr>
      <t>May'31</t>
    </r>
  </si>
  <si>
    <r>
      <rPr>
        <b/>
        <sz val="10"/>
        <color rgb="FF000000"/>
        <rFont val="Calibri"/>
      </rPr>
      <t xml:space="preserve">Projected Total by </t>
    </r>
    <r>
      <rPr>
        <b/>
        <i/>
        <sz val="10"/>
        <color rgb="FF000000"/>
        <rFont val="Calibri"/>
      </rPr>
      <t>May'32</t>
    </r>
  </si>
  <si>
    <r>
      <rPr>
        <b/>
        <sz val="10"/>
        <color rgb="FF000000"/>
        <rFont val="Calibri"/>
      </rPr>
      <t xml:space="preserve">Projected Total by </t>
    </r>
    <r>
      <rPr>
        <b/>
        <i/>
        <sz val="10"/>
        <color rgb="FF000000"/>
        <rFont val="Calibri"/>
      </rPr>
      <t>May'33</t>
    </r>
  </si>
  <si>
    <r>
      <rPr>
        <b/>
        <sz val="10"/>
        <color rgb="FF000000"/>
        <rFont val="Calibri"/>
      </rPr>
      <t xml:space="preserve">Projected Total by </t>
    </r>
    <r>
      <rPr>
        <b/>
        <i/>
        <sz val="10"/>
        <color rgb="FF000000"/>
        <rFont val="Calibri"/>
      </rPr>
      <t>May'34</t>
    </r>
  </si>
  <si>
    <r>
      <rPr>
        <b/>
        <sz val="10"/>
        <color rgb="FF000000"/>
        <rFont val="Calibri"/>
      </rPr>
      <t xml:space="preserve">Projected Total by </t>
    </r>
    <r>
      <rPr>
        <b/>
        <i/>
        <sz val="10"/>
        <color rgb="FF000000"/>
        <rFont val="Calibri"/>
      </rPr>
      <t>May'35</t>
    </r>
  </si>
  <si>
    <t>PPF</t>
  </si>
  <si>
    <t>Crypto</t>
  </si>
  <si>
    <t>US Equity Investment</t>
  </si>
  <si>
    <t>NPS</t>
  </si>
  <si>
    <t>Monthly Total Savings</t>
  </si>
  <si>
    <t>Flat</t>
  </si>
  <si>
    <t>Total Downpayment</t>
  </si>
  <si>
    <t>Expense Name</t>
  </si>
  <si>
    <t>Location</t>
  </si>
  <si>
    <t>RD Amount Deducted per month</t>
  </si>
  <si>
    <t>Need/Due By Date</t>
  </si>
  <si>
    <t>Deduction Date</t>
  </si>
  <si>
    <t>Maturity Date</t>
  </si>
  <si>
    <t>Duration in months</t>
  </si>
  <si>
    <t>Total Deductions per month</t>
  </si>
  <si>
    <r>
      <rPr>
        <sz val="11"/>
        <color rgb="FF000000"/>
        <rFont val="Calibri"/>
        <scheme val="minor"/>
      </rPr>
      <t xml:space="preserve">Rent Difference </t>
    </r>
    <r>
      <rPr>
        <i/>
        <sz val="11"/>
        <color rgb="FF000000"/>
        <rFont val="Calibri"/>
        <scheme val="minor"/>
      </rPr>
      <t>(Yearly)</t>
    </r>
  </si>
  <si>
    <t>Kotak Main Balance</t>
  </si>
  <si>
    <t>Security deposit paid already.</t>
  </si>
  <si>
    <t>Rent Security Difference</t>
  </si>
  <si>
    <t>Car Insurance and</t>
  </si>
  <si>
    <t>ICICI iWish</t>
  </si>
  <si>
    <t>1st of every month</t>
  </si>
  <si>
    <t>Car Annual Maintainance</t>
  </si>
  <si>
    <t>RD 1</t>
  </si>
  <si>
    <t>per month</t>
  </si>
  <si>
    <t>Term Insurance</t>
  </si>
  <si>
    <t>ICICI iWish RD 2</t>
  </si>
  <si>
    <t>Annual Health Check-up</t>
  </si>
  <si>
    <t>ICICI iWish RD 3</t>
  </si>
  <si>
    <t>Annual ITR Tax Fees</t>
  </si>
  <si>
    <t>ICICI iWish RD 4</t>
  </si>
  <si>
    <t>Expense Type</t>
  </si>
  <si>
    <t>Expense Amount</t>
  </si>
  <si>
    <r>
      <rPr>
        <b/>
        <sz val="12"/>
        <color rgb="FFFFFFFF"/>
        <rFont val="Calibri"/>
      </rPr>
      <t xml:space="preserve">Actual Amount
</t>
    </r>
    <r>
      <rPr>
        <b/>
        <i/>
        <sz val="12"/>
        <color rgb="FFFFFFFF"/>
        <rFont val="Calibri"/>
      </rPr>
      <t>(per month)</t>
    </r>
  </si>
  <si>
    <t>% Saving of salary</t>
  </si>
  <si>
    <t>Rent</t>
  </si>
  <si>
    <t>Maintenance</t>
  </si>
  <si>
    <t>Necessary Expenses - Part 1</t>
  </si>
  <si>
    <t>Monthly</t>
  </si>
  <si>
    <t>Grocery</t>
  </si>
  <si>
    <t>Vehicle: Fuel &amp; Washing</t>
  </si>
  <si>
    <t>Necessary Expenses - Part 2</t>
  </si>
  <si>
    <t>Restaurant/Pub/Food Orders</t>
  </si>
  <si>
    <t>Clothes/Home Decor</t>
  </si>
  <si>
    <t>Fixed Expenses</t>
  </si>
  <si>
    <t>Term Life Insurance</t>
  </si>
  <si>
    <t>Yearly</t>
  </si>
  <si>
    <t>Master Health Check-up</t>
  </si>
  <si>
    <t>Car Maintenance</t>
  </si>
  <si>
    <t>Car &amp; Bike Insurance</t>
  </si>
  <si>
    <t>Savings</t>
  </si>
  <si>
    <t>Travel Expenses</t>
  </si>
  <si>
    <t>Flight - Home</t>
  </si>
  <si>
    <t>Quarterly</t>
  </si>
  <si>
    <t>Miscellaneous Expenses</t>
  </si>
  <si>
    <t>Personal Expenses</t>
  </si>
  <si>
    <t>Unexpected Expenses</t>
  </si>
  <si>
    <r>
      <rPr>
        <sz val="11"/>
        <color rgb="FF000000"/>
        <rFont val="Calibri"/>
        <scheme val="minor"/>
      </rPr>
      <t xml:space="preserve">Family Expenses </t>
    </r>
    <r>
      <rPr>
        <i/>
        <sz val="11"/>
        <color rgb="FF000000"/>
        <rFont val="Calibri"/>
        <scheme val="minor"/>
      </rPr>
      <t>(Fixed)</t>
    </r>
  </si>
  <si>
    <t>Total Utilization</t>
  </si>
  <si>
    <t>Type of Action</t>
  </si>
  <si>
    <t>Notes</t>
  </si>
  <si>
    <t>% of salary / Bank</t>
  </si>
  <si>
    <t>Net Average Salary</t>
  </si>
  <si>
    <t>Leftover Salary</t>
  </si>
  <si>
    <t>Projected Total by May'26</t>
  </si>
  <si>
    <t>Projected Total by May'27</t>
  </si>
  <si>
    <t>Projected Total by May'28</t>
  </si>
  <si>
    <t>Projected Total by May'29</t>
  </si>
  <si>
    <t>Projected Total by May'30</t>
  </si>
  <si>
    <t>Projected Total by May'31</t>
  </si>
  <si>
    <t>Projected Total by May'32</t>
  </si>
  <si>
    <t>Projected Total by May'33</t>
  </si>
  <si>
    <t>Projected Total by May'34</t>
  </si>
  <si>
    <t>Projected Total by May'35</t>
  </si>
  <si>
    <t>Actual Amount (per month)</t>
  </si>
  <si>
    <t>Electricity</t>
  </si>
  <si>
    <t>Internet</t>
  </si>
  <si>
    <t>Maid</t>
  </si>
  <si>
    <t>Cook</t>
  </si>
  <si>
    <t>Restaurant/Pub/Club</t>
  </si>
  <si>
    <t>Cab - Office</t>
  </si>
  <si>
    <t>Annual Trip Savings</t>
  </si>
  <si>
    <t>Family Expenses</t>
  </si>
  <si>
    <t>% of salary</t>
  </si>
  <si>
    <t>HUSBAND</t>
  </si>
  <si>
    <t>WIFE</t>
  </si>
  <si>
    <t>Gold</t>
  </si>
  <si>
    <t>Savings Instruments</t>
  </si>
  <si>
    <t>Husband's Contribution</t>
  </si>
  <si>
    <t>Wife's Contribution</t>
  </si>
  <si>
    <t>Recurring Deposit (Flat)</t>
  </si>
  <si>
    <t>Savings per month
(Coming from Wealth Projection Sheet)</t>
  </si>
  <si>
    <r>
      <t xml:space="preserve">Savings per month
</t>
    </r>
    <r>
      <rPr>
        <i/>
        <sz val="11"/>
        <color theme="1"/>
        <rFont val="Calibri"/>
        <family val="2"/>
        <scheme val="minor"/>
      </rPr>
      <t>(Coming from Wealth Projection Sheet)</t>
    </r>
  </si>
  <si>
    <t>Cab -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</si>
</sst>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 &quot;₹&quot;\ * #,##0_ ;_ &quot;₹&quot;\ * \-#,##0_ ;_ &quot;₹&quot;\ * &quot;-&quot;_ ;_ @_ "/>
    <numFmt numFmtId="165" formatCode="_([$$-409]* #,##0.00_);_([$$-409]* \(#,##0.00\);_([$$-409]* &quot;-&quot;??_);_(@_)"/>
    <numFmt numFmtId="166" formatCode="_ [$₹-44D]\ * #,##0.00_ ;_ [$₹-44D]\ * \-#,##0.00_ ;_ [$₹-44D]\ * &quot;-&quot;??_ ;_ @_ "/>
    <numFmt numFmtId="167" formatCode="[$-F800]dddd\,\ mmmm\ dd\,\ yyyy"/>
    <numFmt numFmtId="168" formatCode="0.0000"/>
    <numFmt numFmtId="169" formatCode="_ [$₹-44D]\ * #,##0.000_ ;_ [$₹-44D]\ * \-#,##0.000_ ;_ [$₹-44D]\ * &quot;-&quot;???_ ;_ @_ "/>
    <numFmt numFmtId="171" formatCode="_ [$₹-4009]\ * #,##0.00_ ;_ [$₹-4009]\ * \-#,##0.00_ ;_ [$₹-4009]\ * &quot;-&quot;??_ ;_ @_ "/>
    <numFmt numFmtId="172" formatCode="0.00000000"/>
    <numFmt numFmtId="173" formatCode="[$₹-4009]\ #,##0.00"/>
    <numFmt numFmtId="174" formatCode="[$-409]dd\-mmm\-yy;@"/>
    <numFmt numFmtId="175" formatCode="_ [$₹-44D]\ * #,##0_ ;_ [$₹-44D]\ * \-#,##0_ ;_ [$₹-44D]\ * &quot;-&quot;????_ ;_ @_ "/>
    <numFmt numFmtId="176" formatCode="[$-409]d\-mmm\-yyyy;@"/>
    <numFmt numFmtId="177" formatCode="_ [$₹-4009]\ * #,##0_ ;_ [$₹-4009]\ * \-#,##0_ ;_ [$₹-4009]\ * &quot;-&quot;??_ ;_ @_ "/>
    <numFmt numFmtId="178" formatCode="_ [$₹-4009]\ * #,##0_ ;_ [$₹-4009]\ * \-#,##0_ ;_ [$₹-4009]\ * &quot;-&quot;_ ;_ @_ "/>
  </numFmts>
  <fonts count="41">
    <font>
      <sz val="11"/>
      <color theme="1"/>
      <name val="Calibri"/>
      <family val="2"/>
      <scheme val="minor"/>
    </font>
    <font>
      <b/>
      <sz val="11"/>
      <color rgb="FFFFFFFF"/>
      <name val="Calibri"/>
      <family val="2"/>
      <scheme val="minor"/>
    </font>
    <font>
      <b/>
      <sz val="12"/>
      <color rgb="FFFFFFFF"/>
      <name val="Calibri"/>
      <family val="2"/>
      <scheme val="minor"/>
    </font>
    <font>
      <b/>
      <sz val="11"/>
      <color rgb="FF002060"/>
      <name val="Calibri"/>
      <family val="2"/>
      <scheme val="minor"/>
    </font>
    <font>
      <b/>
      <sz val="12"/>
      <color rgb="FFFFFFFF"/>
      <name val="Calibri"/>
    </font>
    <font>
      <b/>
      <i/>
      <sz val="12"/>
      <color rgb="FFFFFFFF"/>
      <name val="Calibri"/>
    </font>
    <font>
      <b/>
      <sz val="11"/>
      <color rgb="FF000000"/>
      <name val="Calibri"/>
      <family val="2"/>
      <scheme val="minor"/>
    </font>
    <font>
      <b/>
      <sz val="12"/>
      <color rgb="FF000000"/>
      <name val="Calibri"/>
      <family val="2"/>
      <scheme val="minor"/>
    </font>
    <font>
      <sz val="11"/>
      <color rgb="FF000000"/>
      <name val="Calibri"/>
    </font>
    <font>
      <i/>
      <sz val="11"/>
      <color rgb="FF000000"/>
      <name val="Calibri"/>
    </font>
    <font>
      <b/>
      <sz val="11"/>
      <color theme="1"/>
      <name val="Calibri"/>
      <family val="2"/>
      <scheme val="minor"/>
    </font>
    <font>
      <b/>
      <sz val="12"/>
      <color rgb="FFFFFF00"/>
      <name val="Calibri"/>
      <family val="2"/>
      <scheme val="minor"/>
    </font>
    <font>
      <sz val="12"/>
      <color rgb="FF000000"/>
      <name val="Calibri"/>
    </font>
    <font>
      <i/>
      <sz val="12"/>
      <color rgb="FF000000"/>
      <name val="Calibri"/>
    </font>
    <font>
      <sz val="11"/>
      <color rgb="FF000000"/>
      <name val="Calibri"/>
      <family val="2"/>
      <scheme val="minor"/>
    </font>
    <font>
      <sz val="11"/>
      <color theme="0"/>
      <name val="Calibri"/>
      <family val="2"/>
      <scheme val="minor"/>
    </font>
    <font>
      <b/>
      <sz val="11"/>
      <color rgb="FFFFFF00"/>
      <name val="Calibri"/>
      <family val="2"/>
      <scheme val="minor"/>
    </font>
    <font>
      <sz val="11"/>
      <color rgb="FF000000"/>
      <name val="Calibri"/>
      <scheme val="minor"/>
    </font>
    <font>
      <i/>
      <sz val="11"/>
      <color rgb="FF000000"/>
      <name val="Calibri"/>
      <scheme val="minor"/>
    </font>
    <font>
      <sz val="12"/>
      <color rgb="FF000000"/>
      <name val="Calibri"/>
      <family val="2"/>
      <scheme val="minor"/>
    </font>
    <font>
      <sz val="12"/>
      <color theme="1"/>
      <name val="Calibri"/>
      <family val="2"/>
      <scheme val="minor"/>
    </font>
    <font>
      <sz val="11"/>
      <color theme="1"/>
      <name val="Calibri"/>
      <family val="2"/>
      <scheme val="minor"/>
    </font>
    <font>
      <sz val="11"/>
      <color rgb="FFFF0000"/>
      <name val="Calibri"/>
      <family val="2"/>
      <scheme val="minor"/>
    </font>
    <font>
      <b/>
      <sz val="11"/>
      <color rgb="FF000000"/>
      <name val="Calibri"/>
      <scheme val="minor"/>
    </font>
    <font>
      <b/>
      <sz val="11"/>
      <color rgb="FF000000"/>
      <name val="Calibri"/>
    </font>
    <font>
      <b/>
      <i/>
      <sz val="11"/>
      <color rgb="FF000000"/>
      <name val="Calibri"/>
    </font>
    <font>
      <b/>
      <sz val="12"/>
      <color rgb="FFFF8FAF"/>
      <name val="Calibri"/>
      <family val="2"/>
      <scheme val="minor"/>
    </font>
    <font>
      <b/>
      <sz val="8.5"/>
      <color rgb="FF000000"/>
      <name val="Calibri"/>
    </font>
    <font>
      <b/>
      <sz val="10"/>
      <color theme="1"/>
      <name val="Calibri"/>
      <family val="2"/>
      <scheme val="minor"/>
    </font>
    <font>
      <b/>
      <sz val="10"/>
      <color rgb="FF000000"/>
      <name val="Calibri"/>
    </font>
    <font>
      <b/>
      <i/>
      <sz val="10"/>
      <color rgb="FF000000"/>
      <name val="Calibri"/>
    </font>
    <font>
      <sz val="12"/>
      <color rgb="FF000000"/>
      <name val="Calibri"/>
      <scheme val="minor"/>
    </font>
    <font>
      <i/>
      <sz val="12"/>
      <color rgb="FF000000"/>
      <name val="Calibri"/>
      <scheme val="minor"/>
    </font>
    <font>
      <sz val="24"/>
      <color theme="1"/>
      <name val="Calibri"/>
      <family val="2"/>
      <scheme val="minor"/>
    </font>
    <font>
      <sz val="11"/>
      <color rgb="FF00B0F0"/>
      <name val="Calibri"/>
      <family val="2"/>
      <scheme val="minor"/>
    </font>
    <font>
      <b/>
      <sz val="11"/>
      <color rgb="FFFF0000"/>
      <name val="Calibri"/>
      <family val="2"/>
      <scheme val="minor"/>
    </font>
    <font>
      <sz val="11"/>
      <color rgb="FF000000"/>
      <name val="Fidelity Sans"/>
      <family val="2"/>
      <charset val="1"/>
    </font>
    <font>
      <sz val="11"/>
      <color rgb="FF242424"/>
      <name val="Consolas"/>
      <charset val="1"/>
    </font>
    <font>
      <sz val="11"/>
      <color rgb="FF000000"/>
      <name val="Calibri"/>
      <family val="2"/>
    </font>
    <font>
      <b/>
      <sz val="12"/>
      <color rgb="FFFF0000"/>
      <name val="Calibri"/>
      <family val="2"/>
      <scheme val="minor"/>
    </font>
    <font>
      <i/>
      <sz val="11"/>
      <color theme="1"/>
      <name val="Calibri"/>
      <family val="2"/>
      <scheme val="minor"/>
    </font>
  </fonts>
  <fills count="21">
    <fill>
      <patternFill patternType="none"/>
    </fill>
    <fill>
      <patternFill patternType="gray125"/>
    </fill>
    <fill>
      <patternFill patternType="solid">
        <fgColor rgb="FF7030A0"/>
        <bgColor indexed="64"/>
      </patternFill>
    </fill>
    <fill>
      <patternFill patternType="solid">
        <fgColor rgb="FFFFC000"/>
        <bgColor indexed="64"/>
      </patternFill>
    </fill>
    <fill>
      <patternFill patternType="solid">
        <fgColor rgb="FF00B0F0"/>
        <bgColor indexed="64"/>
      </patternFill>
    </fill>
    <fill>
      <patternFill patternType="solid">
        <fgColor rgb="FFFFFF00"/>
        <bgColor indexed="64"/>
      </patternFill>
    </fill>
    <fill>
      <patternFill patternType="solid">
        <fgColor rgb="FFFF85F5"/>
        <bgColor indexed="64"/>
      </patternFill>
    </fill>
    <fill>
      <patternFill patternType="solid">
        <fgColor rgb="FF92D050"/>
        <bgColor indexed="64"/>
      </patternFill>
    </fill>
    <fill>
      <patternFill patternType="solid">
        <fgColor theme="0"/>
        <bgColor indexed="64"/>
      </patternFill>
    </fill>
    <fill>
      <patternFill patternType="solid">
        <fgColor rgb="FFC00000"/>
        <bgColor indexed="64"/>
      </patternFill>
    </fill>
    <fill>
      <patternFill patternType="solid">
        <fgColor rgb="FFFF7700"/>
        <bgColor indexed="64"/>
      </patternFill>
    </fill>
    <fill>
      <patternFill patternType="solid">
        <fgColor theme="7" tint="0.59999389629810485"/>
        <bgColor indexed="64"/>
      </patternFill>
    </fill>
    <fill>
      <patternFill patternType="solid">
        <fgColor rgb="FFFF3700"/>
        <bgColor indexed="64"/>
      </patternFill>
    </fill>
    <fill>
      <patternFill patternType="solid">
        <fgColor rgb="FFF77959"/>
        <bgColor indexed="64"/>
      </patternFill>
    </fill>
    <fill>
      <patternFill patternType="solid">
        <fgColor theme="7"/>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8FAF"/>
        <bgColor indexed="64"/>
      </patternFill>
    </fill>
    <fill>
      <patternFill patternType="solid">
        <fgColor rgb="FFEB75CB"/>
        <bgColor indexed="64"/>
      </patternFill>
    </fill>
    <fill>
      <patternFill patternType="solid">
        <fgColor theme="5" tint="0.79998168889431442"/>
        <bgColor indexed="64"/>
      </patternFill>
    </fill>
    <fill>
      <patternFill patternType="solid">
        <fgColor rgb="FFFFFFFF"/>
        <bgColor rgb="FF000000"/>
      </patternFill>
    </fill>
  </fills>
  <borders count="61">
    <border>
      <left/>
      <right/>
      <top/>
      <bottom/>
      <diagonal/>
    </border>
    <border>
      <left style="medium">
        <color rgb="FF000000"/>
      </left>
      <right/>
      <top/>
      <bottom/>
      <diagonal/>
    </border>
    <border>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thin">
        <color rgb="FF000000"/>
      </top>
      <bottom/>
      <diagonal/>
    </border>
    <border>
      <left style="thin">
        <color rgb="FF000000"/>
      </left>
      <right/>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right/>
      <top style="medium">
        <color rgb="FFFF0000"/>
      </top>
      <bottom/>
      <diagonal/>
    </border>
    <border>
      <left/>
      <right/>
      <top style="thin">
        <color rgb="FF000000"/>
      </top>
      <bottom style="thin">
        <color rgb="FF000000"/>
      </bottom>
      <diagonal/>
    </border>
    <border>
      <left style="medium">
        <color rgb="FF000000"/>
      </left>
      <right/>
      <top style="medium">
        <color rgb="FFFF0000"/>
      </top>
      <bottom/>
      <diagonal/>
    </border>
    <border>
      <left/>
      <right style="medium">
        <color rgb="FF000000"/>
      </right>
      <top style="medium">
        <color rgb="FFFF0000"/>
      </top>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right style="thin">
        <color rgb="FF000000"/>
      </right>
      <top/>
      <bottom/>
      <diagonal/>
    </border>
    <border>
      <left style="thin">
        <color rgb="FF000000"/>
      </left>
      <right style="medium">
        <color rgb="FF000000"/>
      </right>
      <top style="thin">
        <color rgb="FF000000"/>
      </top>
      <bottom/>
      <diagonal/>
    </border>
    <border>
      <left/>
      <right/>
      <top style="medium">
        <color rgb="FFFFC000"/>
      </top>
      <bottom style="thin">
        <color rgb="FFFFC000"/>
      </bottom>
      <diagonal/>
    </border>
    <border>
      <left/>
      <right style="medium">
        <color rgb="FF000000"/>
      </right>
      <top style="medium">
        <color rgb="FFFFC000"/>
      </top>
      <bottom style="thin">
        <color rgb="FFFFC000"/>
      </bottom>
      <diagonal/>
    </border>
    <border>
      <left/>
      <right/>
      <top/>
      <bottom style="medium">
        <color rgb="FFFFC000"/>
      </bottom>
      <diagonal/>
    </border>
    <border>
      <left/>
      <right style="medium">
        <color rgb="FF000000"/>
      </right>
      <top/>
      <bottom style="medium">
        <color rgb="FFFFC000"/>
      </bottom>
      <diagonal/>
    </border>
    <border>
      <left style="medium">
        <color rgb="FF000000"/>
      </left>
      <right/>
      <top style="medium">
        <color rgb="FFFFC000"/>
      </top>
      <bottom style="thin">
        <color rgb="FFFFC000"/>
      </bottom>
      <diagonal/>
    </border>
    <border>
      <left style="medium">
        <color rgb="FF000000"/>
      </left>
      <right/>
      <top/>
      <bottom style="medium">
        <color rgb="FFFFC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bottom style="thin">
        <color rgb="FF000000"/>
      </bottom>
      <diagonal/>
    </border>
    <border>
      <left/>
      <right style="thin">
        <color rgb="FF000000"/>
      </right>
      <top style="medium">
        <color rgb="FF000000"/>
      </top>
      <bottom style="medium">
        <color rgb="FF000000"/>
      </bottom>
      <diagonal/>
    </border>
  </borders>
  <cellStyleXfs count="2">
    <xf numFmtId="0" fontId="0" fillId="0" borderId="0"/>
    <xf numFmtId="164" fontId="21" fillId="0" borderId="0" applyFont="0" applyFill="0" applyBorder="0" applyAlignment="0" applyProtection="0"/>
  </cellStyleXfs>
  <cellXfs count="294">
    <xf numFmtId="0" fontId="0" fillId="0" borderId="0" xfId="0"/>
    <xf numFmtId="14" fontId="0" fillId="0" borderId="0" xfId="0" applyNumberFormat="1"/>
    <xf numFmtId="0" fontId="0" fillId="0" borderId="1" xfId="0" applyBorder="1"/>
    <xf numFmtId="0" fontId="0" fillId="0" borderId="2" xfId="0" applyBorder="1"/>
    <xf numFmtId="0" fontId="1" fillId="4" borderId="1" xfId="0" applyFont="1" applyFill="1" applyBorder="1" applyAlignment="1">
      <alignment horizontal="left" vertical="center"/>
    </xf>
    <xf numFmtId="0" fontId="1" fillId="4" borderId="2" xfId="0" applyFont="1" applyFill="1" applyBorder="1" applyAlignment="1">
      <alignment horizontal="center"/>
    </xf>
    <xf numFmtId="0" fontId="4" fillId="2" borderId="5" xfId="0" applyFont="1" applyFill="1" applyBorder="1" applyAlignment="1">
      <alignment horizontal="center" vertical="center" wrapText="1"/>
    </xf>
    <xf numFmtId="0" fontId="3" fillId="3" borderId="1" xfId="0" applyFont="1" applyFill="1" applyBorder="1" applyAlignment="1">
      <alignment horizontal="left" vertical="center"/>
    </xf>
    <xf numFmtId="0" fontId="1" fillId="3" borderId="2" xfId="0" applyFont="1" applyFill="1" applyBorder="1" applyAlignment="1">
      <alignment horizontal="center"/>
    </xf>
    <xf numFmtId="0" fontId="0" fillId="0" borderId="0" xfId="0" applyAlignment="1">
      <alignment horizontal="center"/>
    </xf>
    <xf numFmtId="0" fontId="1" fillId="4" borderId="0" xfId="0" applyFont="1" applyFill="1" applyAlignment="1">
      <alignment horizontal="center" vertical="center"/>
    </xf>
    <xf numFmtId="0" fontId="0" fillId="0" borderId="0" xfId="0" applyAlignment="1">
      <alignment horizontal="center" vertical="center"/>
    </xf>
    <xf numFmtId="0" fontId="0" fillId="0" borderId="9" xfId="0" applyBorder="1" applyAlignment="1">
      <alignment horizontal="center"/>
    </xf>
    <xf numFmtId="0" fontId="0" fillId="0" borderId="9" xfId="0" applyBorder="1"/>
    <xf numFmtId="0" fontId="0" fillId="0" borderId="11" xfId="0" applyBorder="1" applyAlignment="1">
      <alignment horizontal="center" vertical="center"/>
    </xf>
    <xf numFmtId="0" fontId="10" fillId="0" borderId="0" xfId="0" applyFont="1" applyAlignment="1">
      <alignment horizontal="center" vertical="center"/>
    </xf>
    <xf numFmtId="0" fontId="1" fillId="4" borderId="2" xfId="0" applyFont="1" applyFill="1" applyBorder="1" applyAlignment="1">
      <alignment horizontal="center" vertical="center"/>
    </xf>
    <xf numFmtId="169" fontId="0" fillId="0" borderId="0" xfId="0" applyNumberFormat="1" applyAlignment="1">
      <alignment horizontal="center" vertical="center"/>
    </xf>
    <xf numFmtId="0" fontId="7" fillId="4" borderId="21" xfId="0" applyFont="1" applyFill="1" applyBorder="1" applyAlignment="1">
      <alignment horizontal="center" vertical="center" wrapText="1"/>
    </xf>
    <xf numFmtId="0" fontId="7" fillId="4" borderId="23" xfId="0" applyFont="1" applyFill="1" applyBorder="1" applyAlignment="1">
      <alignment horizontal="center" vertical="center" wrapText="1"/>
    </xf>
    <xf numFmtId="0" fontId="20" fillId="0" borderId="0" xfId="0" applyFont="1"/>
    <xf numFmtId="0" fontId="0" fillId="0" borderId="2" xfId="0" applyBorder="1" applyAlignment="1">
      <alignment horizontal="center"/>
    </xf>
    <xf numFmtId="0" fontId="1" fillId="3" borderId="2" xfId="0" applyFont="1" applyFill="1" applyBorder="1" applyAlignment="1">
      <alignment horizontal="center" vertical="center"/>
    </xf>
    <xf numFmtId="0" fontId="10" fillId="5" borderId="16" xfId="0" applyFont="1" applyFill="1" applyBorder="1" applyAlignment="1">
      <alignment horizontal="left" vertical="center"/>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9" fontId="0" fillId="0" borderId="17" xfId="0" applyNumberFormat="1" applyBorder="1" applyAlignment="1">
      <alignment horizontal="center" vertical="center" indent="1"/>
    </xf>
    <xf numFmtId="10" fontId="14" fillId="8" borderId="34" xfId="0" applyNumberFormat="1" applyFont="1" applyFill="1" applyBorder="1" applyAlignment="1">
      <alignment horizontal="center" vertical="center"/>
    </xf>
    <xf numFmtId="165" fontId="15" fillId="9" borderId="34" xfId="0" applyNumberFormat="1" applyFont="1" applyFill="1" applyBorder="1" applyAlignment="1">
      <alignment horizontal="center" vertical="center"/>
    </xf>
    <xf numFmtId="0" fontId="0" fillId="8" borderId="0" xfId="0" applyFill="1" applyAlignment="1">
      <alignment horizontal="center"/>
    </xf>
    <xf numFmtId="0" fontId="1" fillId="4" borderId="0" xfId="0" applyFont="1" applyFill="1" applyAlignment="1">
      <alignment horizontal="left" vertical="center"/>
    </xf>
    <xf numFmtId="0" fontId="8" fillId="11" borderId="0" xfId="0" applyFont="1" applyFill="1" applyAlignment="1">
      <alignment horizontal="center"/>
    </xf>
    <xf numFmtId="0" fontId="8" fillId="13" borderId="36" xfId="0" applyFont="1" applyFill="1" applyBorder="1" applyAlignment="1">
      <alignment horizontal="center"/>
    </xf>
    <xf numFmtId="0" fontId="19" fillId="8" borderId="21" xfId="0" applyFont="1" applyFill="1" applyBorder="1" applyAlignment="1">
      <alignment horizontal="left" vertical="center" wrapText="1"/>
    </xf>
    <xf numFmtId="0" fontId="8" fillId="0" borderId="0" xfId="0" applyFont="1" applyAlignment="1">
      <alignment horizontal="center"/>
    </xf>
    <xf numFmtId="171" fontId="0" fillId="0" borderId="0" xfId="0" applyNumberFormat="1"/>
    <xf numFmtId="0" fontId="0" fillId="8" borderId="2" xfId="0" applyFill="1" applyBorder="1"/>
    <xf numFmtId="0" fontId="0" fillId="13" borderId="39" xfId="0" applyFill="1" applyBorder="1"/>
    <xf numFmtId="0" fontId="0" fillId="11" borderId="2" xfId="0" applyFill="1" applyBorder="1"/>
    <xf numFmtId="166" fontId="0" fillId="0" borderId="2" xfId="0" applyNumberFormat="1" applyBorder="1" applyAlignment="1">
      <alignment horizontal="right"/>
    </xf>
    <xf numFmtId="171" fontId="14" fillId="0" borderId="2" xfId="0" applyNumberFormat="1" applyFont="1" applyBorder="1"/>
    <xf numFmtId="0" fontId="14" fillId="8" borderId="2" xfId="0" applyFont="1" applyFill="1" applyBorder="1" applyAlignment="1">
      <alignment horizontal="center"/>
    </xf>
    <xf numFmtId="0" fontId="6" fillId="12" borderId="39" xfId="0" applyFont="1" applyFill="1" applyBorder="1" applyAlignment="1">
      <alignment horizontal="center"/>
    </xf>
    <xf numFmtId="0" fontId="0" fillId="14" borderId="2" xfId="0" applyFill="1" applyBorder="1" applyAlignment="1">
      <alignment horizontal="center" wrapText="1"/>
    </xf>
    <xf numFmtId="0" fontId="8" fillId="13" borderId="0" xfId="0" applyFont="1" applyFill="1" applyAlignment="1">
      <alignment horizontal="center"/>
    </xf>
    <xf numFmtId="0" fontId="0" fillId="13" borderId="2" xfId="0" applyFill="1" applyBorder="1"/>
    <xf numFmtId="0" fontId="6" fillId="12" borderId="2" xfId="0" applyFont="1" applyFill="1" applyBorder="1" applyAlignment="1">
      <alignment horizontal="center"/>
    </xf>
    <xf numFmtId="0" fontId="19" fillId="15" borderId="22" xfId="0" applyFont="1" applyFill="1" applyBorder="1" applyAlignment="1">
      <alignment horizontal="left" vertical="center" wrapText="1"/>
    </xf>
    <xf numFmtId="165" fontId="0" fillId="7" borderId="40" xfId="0" applyNumberFormat="1" applyFill="1" applyBorder="1" applyAlignment="1">
      <alignment horizontal="center" vertical="center"/>
    </xf>
    <xf numFmtId="0" fontId="11" fillId="2" borderId="30"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32" xfId="0" applyFont="1" applyFill="1" applyBorder="1" applyAlignment="1">
      <alignment horizontal="center" vertical="center" wrapText="1"/>
    </xf>
    <xf numFmtId="0" fontId="3" fillId="3" borderId="13" xfId="0" applyFont="1" applyFill="1" applyBorder="1" applyAlignment="1">
      <alignment horizontal="left" vertical="center"/>
    </xf>
    <xf numFmtId="0" fontId="1" fillId="3" borderId="15" xfId="0" applyFont="1" applyFill="1" applyBorder="1" applyAlignment="1">
      <alignment horizontal="center"/>
    </xf>
    <xf numFmtId="0" fontId="1" fillId="3" borderId="14" xfId="0" applyFont="1" applyFill="1" applyBorder="1" applyAlignment="1">
      <alignment horizontal="center"/>
    </xf>
    <xf numFmtId="0" fontId="1" fillId="3" borderId="0" xfId="0" applyFont="1" applyFill="1" applyAlignment="1">
      <alignment horizontal="center"/>
    </xf>
    <xf numFmtId="0" fontId="17" fillId="0" borderId="10" xfId="0" applyFont="1" applyBorder="1" applyAlignment="1">
      <alignment vertical="center"/>
    </xf>
    <xf numFmtId="0" fontId="0" fillId="0" borderId="11" xfId="0" applyBorder="1" applyAlignment="1">
      <alignment vertical="center"/>
    </xf>
    <xf numFmtId="0" fontId="0" fillId="0" borderId="12" xfId="0" applyBorder="1" applyAlignment="1">
      <alignment horizontal="center" vertical="center"/>
    </xf>
    <xf numFmtId="0" fontId="2" fillId="2" borderId="41"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0" fillId="2" borderId="11" xfId="0" applyFill="1" applyBorder="1"/>
    <xf numFmtId="0" fontId="2" fillId="2" borderId="12"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4" fillId="13" borderId="1" xfId="0" applyFont="1" applyFill="1" applyBorder="1"/>
    <xf numFmtId="0" fontId="24" fillId="13" borderId="38" xfId="0" applyFont="1" applyFill="1" applyBorder="1"/>
    <xf numFmtId="0" fontId="24" fillId="11" borderId="1" xfId="0" applyFont="1" applyFill="1" applyBorder="1"/>
    <xf numFmtId="0" fontId="24" fillId="0" borderId="1" xfId="0" applyFont="1" applyBorder="1"/>
    <xf numFmtId="0" fontId="10" fillId="8" borderId="1" xfId="0" applyFont="1" applyFill="1" applyBorder="1"/>
    <xf numFmtId="0" fontId="10" fillId="0" borderId="1" xfId="0" applyFont="1" applyBorder="1"/>
    <xf numFmtId="10" fontId="14" fillId="8" borderId="35" xfId="0" applyNumberFormat="1" applyFont="1" applyFill="1" applyBorder="1" applyAlignment="1">
      <alignment horizontal="center" vertical="center"/>
    </xf>
    <xf numFmtId="165" fontId="15" fillId="9" borderId="35" xfId="0" applyNumberFormat="1" applyFont="1" applyFill="1" applyBorder="1" applyAlignment="1">
      <alignment horizontal="center" vertical="center"/>
    </xf>
    <xf numFmtId="165" fontId="0" fillId="7" borderId="29" xfId="0" applyNumberFormat="1" applyFill="1" applyBorder="1" applyAlignment="1">
      <alignment horizontal="center" vertical="center"/>
    </xf>
    <xf numFmtId="0" fontId="7" fillId="6" borderId="30" xfId="0" applyFont="1" applyFill="1" applyBorder="1" applyAlignment="1">
      <alignment horizontal="center" vertical="center" wrapText="1"/>
    </xf>
    <xf numFmtId="0" fontId="7" fillId="6" borderId="31" xfId="0" applyFont="1" applyFill="1" applyBorder="1" applyAlignment="1">
      <alignment horizontal="center" vertical="center" wrapText="1"/>
    </xf>
    <xf numFmtId="0" fontId="7" fillId="6" borderId="32" xfId="0" applyFont="1" applyFill="1" applyBorder="1" applyAlignment="1">
      <alignment horizontal="center" vertical="center" wrapText="1"/>
    </xf>
    <xf numFmtId="165" fontId="0" fillId="0" borderId="0" xfId="0" applyNumberFormat="1" applyAlignment="1">
      <alignment horizontal="right" vertical="center"/>
    </xf>
    <xf numFmtId="14" fontId="0" fillId="8" borderId="0" xfId="0" applyNumberFormat="1" applyFill="1" applyAlignment="1">
      <alignment horizontal="right" vertical="center"/>
    </xf>
    <xf numFmtId="14" fontId="0" fillId="0" borderId="0" xfId="0" applyNumberFormat="1" applyAlignment="1">
      <alignment horizontal="right" vertical="center"/>
    </xf>
    <xf numFmtId="0" fontId="1" fillId="4" borderId="0" xfId="0" applyFont="1" applyFill="1" applyAlignment="1">
      <alignment horizontal="right" vertical="center"/>
    </xf>
    <xf numFmtId="0" fontId="8" fillId="13" borderId="36" xfId="0" applyFont="1" applyFill="1" applyBorder="1" applyAlignment="1">
      <alignment horizontal="right" vertical="center"/>
    </xf>
    <xf numFmtId="0" fontId="0" fillId="11" borderId="0" xfId="0" applyFill="1" applyAlignment="1">
      <alignment horizontal="right" vertical="center"/>
    </xf>
    <xf numFmtId="0" fontId="8" fillId="13" borderId="0" xfId="0" applyFont="1" applyFill="1" applyAlignment="1">
      <alignment horizontal="right" vertical="center"/>
    </xf>
    <xf numFmtId="0" fontId="27" fillId="16" borderId="13" xfId="0" applyFont="1" applyFill="1" applyBorder="1" applyAlignment="1">
      <alignment horizontal="left" vertical="center" wrapText="1"/>
    </xf>
    <xf numFmtId="0" fontId="27" fillId="16" borderId="33" xfId="0" applyFont="1" applyFill="1" applyBorder="1" applyAlignment="1">
      <alignment horizontal="left" vertical="center" wrapText="1"/>
    </xf>
    <xf numFmtId="164" fontId="26" fillId="17" borderId="7" xfId="1" applyFont="1" applyFill="1" applyBorder="1" applyAlignment="1">
      <alignment horizontal="right" vertical="center"/>
    </xf>
    <xf numFmtId="10" fontId="28" fillId="4" borderId="3" xfId="0" applyNumberFormat="1" applyFont="1" applyFill="1" applyBorder="1" applyAlignment="1">
      <alignment horizontal="center" vertical="center" wrapText="1"/>
    </xf>
    <xf numFmtId="0" fontId="29" fillId="4" borderId="4" xfId="0" applyFont="1" applyFill="1" applyBorder="1" applyAlignment="1">
      <alignment horizontal="center" vertical="center" wrapText="1"/>
    </xf>
    <xf numFmtId="0" fontId="29" fillId="4" borderId="5" xfId="0" applyFont="1" applyFill="1" applyBorder="1" applyAlignment="1">
      <alignment horizontal="center" vertical="center" wrapText="1"/>
    </xf>
    <xf numFmtId="0" fontId="0" fillId="17" borderId="19" xfId="0" applyFill="1" applyBorder="1" applyAlignment="1">
      <alignment horizontal="center"/>
    </xf>
    <xf numFmtId="0" fontId="0" fillId="17" borderId="19" xfId="0" applyFill="1" applyBorder="1" applyAlignment="1">
      <alignment horizontal="center" vertical="center" indent="1"/>
    </xf>
    <xf numFmtId="0" fontId="0" fillId="17" borderId="20" xfId="0" applyFill="1" applyBorder="1" applyAlignment="1">
      <alignment horizontal="center"/>
    </xf>
    <xf numFmtId="0" fontId="20" fillId="8" borderId="9"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10" fillId="5" borderId="3" xfId="0" applyFont="1" applyFill="1" applyBorder="1" applyAlignment="1">
      <alignment horizontal="left" vertical="center"/>
    </xf>
    <xf numFmtId="0" fontId="20" fillId="8" borderId="4" xfId="0" applyFont="1" applyFill="1" applyBorder="1" applyAlignment="1">
      <alignment horizontal="center" vertical="center" wrapText="1"/>
    </xf>
    <xf numFmtId="9" fontId="0" fillId="0" borderId="5" xfId="0" applyNumberFormat="1" applyBorder="1" applyAlignment="1">
      <alignment horizontal="center" vertical="center" indent="1"/>
    </xf>
    <xf numFmtId="0" fontId="0" fillId="0" borderId="17" xfId="0" applyBorder="1" applyAlignment="1">
      <alignment horizontal="center"/>
    </xf>
    <xf numFmtId="1" fontId="0" fillId="0" borderId="17" xfId="0" applyNumberFormat="1" applyBorder="1" applyAlignment="1">
      <alignment horizontal="center"/>
    </xf>
    <xf numFmtId="0" fontId="0" fillId="0" borderId="45" xfId="0" applyBorder="1" applyAlignment="1">
      <alignment horizontal="center"/>
    </xf>
    <xf numFmtId="0" fontId="24" fillId="8" borderId="1" xfId="0" applyFont="1" applyFill="1" applyBorder="1"/>
    <xf numFmtId="0" fontId="8" fillId="8" borderId="0" xfId="0" applyFont="1" applyFill="1" applyAlignment="1">
      <alignment horizontal="center"/>
    </xf>
    <xf numFmtId="0" fontId="0" fillId="8" borderId="0" xfId="0" applyFill="1" applyAlignment="1">
      <alignment horizontal="right" vertical="center"/>
    </xf>
    <xf numFmtId="0" fontId="0" fillId="8" borderId="2" xfId="0" applyFill="1" applyBorder="1" applyAlignment="1">
      <alignment horizontal="center" wrapText="1"/>
    </xf>
    <xf numFmtId="0" fontId="24" fillId="8" borderId="1" xfId="0" applyFont="1" applyFill="1" applyBorder="1" applyAlignment="1">
      <alignment horizontal="left" vertical="center"/>
    </xf>
    <xf numFmtId="0" fontId="0" fillId="8" borderId="2" xfId="0" applyFill="1" applyBorder="1" applyAlignment="1">
      <alignment horizontal="center" vertical="center" wrapText="1"/>
    </xf>
    <xf numFmtId="0" fontId="8" fillId="11" borderId="46" xfId="0" applyFont="1" applyFill="1" applyBorder="1" applyAlignment="1">
      <alignment horizontal="center"/>
    </xf>
    <xf numFmtId="0" fontId="0" fillId="11" borderId="46" xfId="0" applyFill="1" applyBorder="1" applyAlignment="1">
      <alignment horizontal="right" vertical="center"/>
    </xf>
    <xf numFmtId="0" fontId="0" fillId="11" borderId="47" xfId="0" applyFill="1" applyBorder="1"/>
    <xf numFmtId="0" fontId="8" fillId="11" borderId="48" xfId="0" applyFont="1" applyFill="1" applyBorder="1" applyAlignment="1">
      <alignment horizontal="center"/>
    </xf>
    <xf numFmtId="0" fontId="0" fillId="11" borderId="48" xfId="0" applyFill="1" applyBorder="1" applyAlignment="1">
      <alignment horizontal="right" vertical="center"/>
    </xf>
    <xf numFmtId="0" fontId="0" fillId="11" borderId="49" xfId="0" applyFill="1" applyBorder="1"/>
    <xf numFmtId="0" fontId="24" fillId="11" borderId="50" xfId="0" applyFont="1" applyFill="1" applyBorder="1"/>
    <xf numFmtId="0" fontId="0" fillId="3" borderId="47" xfId="0" applyFill="1" applyBorder="1" applyAlignment="1">
      <alignment horizontal="center" wrapText="1"/>
    </xf>
    <xf numFmtId="0" fontId="24" fillId="11" borderId="51" xfId="0" applyFont="1" applyFill="1" applyBorder="1"/>
    <xf numFmtId="0" fontId="0" fillId="14" borderId="49" xfId="0" applyFill="1" applyBorder="1" applyAlignment="1">
      <alignment horizontal="center" wrapText="1"/>
    </xf>
    <xf numFmtId="0" fontId="7" fillId="17" borderId="8" xfId="0" applyFont="1" applyFill="1" applyBorder="1" applyAlignment="1">
      <alignment horizontal="center" vertical="center" wrapText="1"/>
    </xf>
    <xf numFmtId="172" fontId="0" fillId="0" borderId="0" xfId="0" applyNumberFormat="1" applyAlignment="1">
      <alignment horizontal="right" vertical="center"/>
    </xf>
    <xf numFmtId="166" fontId="0" fillId="0" borderId="0" xfId="0" applyNumberFormat="1"/>
    <xf numFmtId="0" fontId="10" fillId="5" borderId="8" xfId="0" applyFont="1" applyFill="1" applyBorder="1"/>
    <xf numFmtId="0" fontId="10" fillId="0" borderId="22" xfId="0" applyFont="1" applyBorder="1"/>
    <xf numFmtId="0" fontId="10" fillId="0" borderId="27" xfId="0" applyFont="1" applyBorder="1"/>
    <xf numFmtId="0" fontId="27" fillId="16" borderId="53" xfId="0" applyFont="1" applyFill="1" applyBorder="1" applyAlignment="1">
      <alignment horizontal="left" vertical="center" wrapText="1"/>
    </xf>
    <xf numFmtId="10" fontId="14" fillId="8" borderId="54" xfId="0" applyNumberFormat="1" applyFont="1" applyFill="1" applyBorder="1" applyAlignment="1">
      <alignment horizontal="center" vertical="center"/>
    </xf>
    <xf numFmtId="165" fontId="15" fillId="9" borderId="54" xfId="0" applyNumberFormat="1" applyFont="1" applyFill="1" applyBorder="1" applyAlignment="1">
      <alignment horizontal="center" vertical="center"/>
    </xf>
    <xf numFmtId="165" fontId="0" fillId="7" borderId="45" xfId="0" applyNumberFormat="1" applyFill="1" applyBorder="1" applyAlignment="1">
      <alignment horizontal="center" vertical="center"/>
    </xf>
    <xf numFmtId="0" fontId="27" fillId="16" borderId="18" xfId="0" applyFont="1" applyFill="1" applyBorder="1" applyAlignment="1">
      <alignment horizontal="left" vertical="center" wrapText="1"/>
    </xf>
    <xf numFmtId="166" fontId="6" fillId="5" borderId="19" xfId="0" applyNumberFormat="1" applyFont="1" applyFill="1" applyBorder="1" applyAlignment="1">
      <alignment horizontal="center" vertical="center"/>
    </xf>
    <xf numFmtId="10" fontId="14" fillId="8" borderId="19" xfId="0" applyNumberFormat="1" applyFont="1" applyFill="1" applyBorder="1" applyAlignment="1">
      <alignment horizontal="center" vertical="center"/>
    </xf>
    <xf numFmtId="165" fontId="15" fillId="9" borderId="19" xfId="0" applyNumberFormat="1" applyFont="1" applyFill="1" applyBorder="1" applyAlignment="1">
      <alignment horizontal="center" vertical="center"/>
    </xf>
    <xf numFmtId="165" fontId="0" fillId="7" borderId="20" xfId="0" applyNumberFormat="1" applyFill="1" applyBorder="1" applyAlignment="1">
      <alignment horizontal="center" vertical="center"/>
    </xf>
    <xf numFmtId="165" fontId="6" fillId="5" borderId="43" xfId="0" applyNumberFormat="1" applyFont="1" applyFill="1" applyBorder="1" applyAlignment="1">
      <alignment horizontal="center" vertical="center"/>
    </xf>
    <xf numFmtId="165" fontId="6" fillId="5" borderId="41" xfId="0" applyNumberFormat="1" applyFont="1" applyFill="1" applyBorder="1" applyAlignment="1">
      <alignment horizontal="center" vertical="center"/>
    </xf>
    <xf numFmtId="165" fontId="6" fillId="5" borderId="54" xfId="0" applyNumberFormat="1" applyFont="1" applyFill="1" applyBorder="1" applyAlignment="1">
      <alignment horizontal="center" vertical="center"/>
    </xf>
    <xf numFmtId="0" fontId="8" fillId="8" borderId="27" xfId="0" applyFont="1" applyFill="1" applyBorder="1" applyAlignment="1">
      <alignment horizontal="left" vertical="center" wrapText="1"/>
    </xf>
    <xf numFmtId="0" fontId="23" fillId="0" borderId="0" xfId="0" applyFont="1" applyAlignment="1">
      <alignment horizontal="right" vertical="center" wrapText="1"/>
    </xf>
    <xf numFmtId="0" fontId="28" fillId="0" borderId="0" xfId="0" applyFont="1" applyAlignment="1">
      <alignment horizontal="left" vertical="top" wrapText="1"/>
    </xf>
    <xf numFmtId="0" fontId="24" fillId="17" borderId="6" xfId="0" applyFont="1" applyFill="1" applyBorder="1" applyAlignment="1">
      <alignment horizontal="center" vertical="center" wrapText="1"/>
    </xf>
    <xf numFmtId="0" fontId="10" fillId="16" borderId="1" xfId="0" applyFont="1" applyFill="1" applyBorder="1"/>
    <xf numFmtId="0" fontId="0" fillId="16" borderId="0" xfId="0" applyFill="1" applyAlignment="1">
      <alignment horizontal="center"/>
    </xf>
    <xf numFmtId="168" fontId="0" fillId="16" borderId="0" xfId="0" applyNumberFormat="1" applyFill="1" applyAlignment="1">
      <alignment horizontal="right" vertical="center"/>
    </xf>
    <xf numFmtId="166" fontId="0" fillId="16" borderId="2" xfId="0" applyNumberFormat="1" applyFill="1" applyBorder="1" applyAlignment="1">
      <alignment horizontal="right"/>
    </xf>
    <xf numFmtId="1" fontId="0" fillId="0" borderId="0" xfId="0" applyNumberFormat="1"/>
    <xf numFmtId="173" fontId="0" fillId="0" borderId="0" xfId="0" applyNumberFormat="1"/>
    <xf numFmtId="169" fontId="0" fillId="0" borderId="0" xfId="0" applyNumberFormat="1"/>
    <xf numFmtId="0" fontId="10" fillId="19" borderId="1" xfId="0" applyFont="1" applyFill="1" applyBorder="1"/>
    <xf numFmtId="0" fontId="0" fillId="19" borderId="0" xfId="0" applyFill="1" applyAlignment="1">
      <alignment horizontal="center"/>
    </xf>
    <xf numFmtId="171" fontId="14" fillId="19" borderId="2" xfId="0" applyNumberFormat="1" applyFont="1" applyFill="1" applyBorder="1" applyAlignment="1">
      <alignment horizontal="right"/>
    </xf>
    <xf numFmtId="10" fontId="0" fillId="15" borderId="24" xfId="0" applyNumberFormat="1" applyFill="1" applyBorder="1" applyAlignment="1">
      <alignment horizontal="center" vertical="center"/>
    </xf>
    <xf numFmtId="10" fontId="19" fillId="15" borderId="24" xfId="0" applyNumberFormat="1" applyFont="1" applyFill="1" applyBorder="1" applyAlignment="1">
      <alignment horizontal="center" vertical="center" wrapText="1"/>
    </xf>
    <xf numFmtId="10" fontId="19" fillId="8" borderId="24" xfId="0" applyNumberFormat="1" applyFont="1" applyFill="1" applyBorder="1" applyAlignment="1">
      <alignment horizontal="center" vertical="center" wrapText="1"/>
    </xf>
    <xf numFmtId="10" fontId="0" fillId="8" borderId="37" xfId="0" applyNumberFormat="1" applyFill="1" applyBorder="1" applyAlignment="1">
      <alignment horizontal="center" vertical="center"/>
    </xf>
    <xf numFmtId="10" fontId="0" fillId="8" borderId="24" xfId="0" applyNumberFormat="1" applyFill="1" applyBorder="1" applyAlignment="1">
      <alignment horizontal="center" vertical="center"/>
    </xf>
    <xf numFmtId="0" fontId="31" fillId="8" borderId="21" xfId="0" applyFont="1" applyFill="1" applyBorder="1" applyAlignment="1">
      <alignment horizontal="left" vertical="center" wrapText="1"/>
    </xf>
    <xf numFmtId="0" fontId="12" fillId="8" borderId="9" xfId="0" applyFont="1" applyFill="1" applyBorder="1" applyAlignment="1">
      <alignment horizontal="left" vertical="center" wrapText="1"/>
    </xf>
    <xf numFmtId="0" fontId="10" fillId="4" borderId="13" xfId="0" applyFont="1" applyFill="1" applyBorder="1" applyAlignment="1">
      <alignment horizontal="center" vertical="center"/>
    </xf>
    <xf numFmtId="0" fontId="10" fillId="4" borderId="52" xfId="0" applyFont="1" applyFill="1" applyBorder="1" applyAlignment="1">
      <alignment horizontal="center" vertical="center" wrapText="1"/>
    </xf>
    <xf numFmtId="0" fontId="10" fillId="0" borderId="22" xfId="0" applyFont="1" applyBorder="1" applyAlignment="1">
      <alignment wrapText="1"/>
    </xf>
    <xf numFmtId="1" fontId="10" fillId="5" borderId="32" xfId="0" applyNumberFormat="1" applyFont="1" applyFill="1" applyBorder="1" applyAlignment="1">
      <alignment horizontal="center"/>
    </xf>
    <xf numFmtId="175" fontId="0" fillId="0" borderId="0" xfId="0" applyNumberFormat="1"/>
    <xf numFmtId="0" fontId="10" fillId="4" borderId="15" xfId="0" applyFont="1" applyFill="1" applyBorder="1" applyAlignment="1">
      <alignment horizontal="center" vertical="center" wrapText="1"/>
    </xf>
    <xf numFmtId="0" fontId="10" fillId="4" borderId="13" xfId="0" applyFont="1" applyFill="1" applyBorder="1" applyAlignment="1">
      <alignment horizontal="center" vertical="center" wrapText="1"/>
    </xf>
    <xf numFmtId="9" fontId="2" fillId="2" borderId="12" xfId="0" applyNumberFormat="1" applyFont="1" applyFill="1" applyBorder="1" applyAlignment="1">
      <alignment horizontal="center" vertical="center" wrapText="1"/>
    </xf>
    <xf numFmtId="0" fontId="1" fillId="3" borderId="0" xfId="0" applyFont="1" applyFill="1" applyAlignment="1">
      <alignment horizontal="center" vertical="center"/>
    </xf>
    <xf numFmtId="0" fontId="10" fillId="0" borderId="21" xfId="0" applyFont="1" applyBorder="1"/>
    <xf numFmtId="0" fontId="16" fillId="2" borderId="30" xfId="0" applyFont="1" applyFill="1" applyBorder="1" applyAlignment="1">
      <alignment horizontal="center" vertical="center" wrapText="1"/>
    </xf>
    <xf numFmtId="0" fontId="16" fillId="2" borderId="32" xfId="0" applyFont="1" applyFill="1" applyBorder="1" applyAlignment="1">
      <alignment horizontal="center" vertical="center"/>
    </xf>
    <xf numFmtId="0" fontId="0" fillId="0" borderId="59" xfId="0" applyBorder="1" applyAlignment="1">
      <alignment horizontal="center"/>
    </xf>
    <xf numFmtId="1" fontId="0" fillId="13" borderId="2" xfId="0" applyNumberFormat="1" applyFill="1" applyBorder="1"/>
    <xf numFmtId="0" fontId="0" fillId="0" borderId="0" xfId="0" applyAlignment="1">
      <alignment horizontal="left"/>
    </xf>
    <xf numFmtId="0" fontId="36" fillId="0" borderId="0" xfId="0" applyFont="1"/>
    <xf numFmtId="0" fontId="37" fillId="0" borderId="0" xfId="0" applyFont="1"/>
    <xf numFmtId="0" fontId="0" fillId="0" borderId="16" xfId="0" applyBorder="1"/>
    <xf numFmtId="0" fontId="22" fillId="0" borderId="9" xfId="0" applyFont="1" applyBorder="1" applyAlignment="1">
      <alignment horizontal="center"/>
    </xf>
    <xf numFmtId="1" fontId="35" fillId="0" borderId="9" xfId="0" applyNumberFormat="1" applyFont="1" applyBorder="1" applyAlignment="1">
      <alignment horizontal="center"/>
    </xf>
    <xf numFmtId="174" fontId="0" fillId="8" borderId="9" xfId="0" applyNumberFormat="1" applyFill="1" applyBorder="1" applyAlignment="1">
      <alignment horizontal="center"/>
    </xf>
    <xf numFmtId="174" fontId="0" fillId="8" borderId="9" xfId="0" applyNumberFormat="1" applyFill="1" applyBorder="1" applyAlignment="1">
      <alignment horizontal="center" vertical="center"/>
    </xf>
    <xf numFmtId="174" fontId="0" fillId="0" borderId="9" xfId="0" applyNumberFormat="1" applyBorder="1" applyAlignment="1">
      <alignment horizontal="center" vertical="center"/>
    </xf>
    <xf numFmtId="0" fontId="10" fillId="4" borderId="52" xfId="0" applyFont="1" applyFill="1" applyBorder="1" applyAlignment="1">
      <alignment horizontal="center" vertical="center"/>
    </xf>
    <xf numFmtId="0" fontId="10" fillId="4" borderId="15" xfId="0" applyFont="1" applyFill="1" applyBorder="1" applyAlignment="1">
      <alignment horizontal="center" vertical="center"/>
    </xf>
    <xf numFmtId="0" fontId="22" fillId="0" borderId="19" xfId="0" applyFont="1" applyBorder="1" applyAlignment="1">
      <alignment horizontal="center"/>
    </xf>
    <xf numFmtId="1" fontId="35" fillId="0" borderId="19" xfId="0" applyNumberFormat="1" applyFont="1" applyBorder="1" applyAlignment="1">
      <alignment horizontal="center"/>
    </xf>
    <xf numFmtId="174" fontId="0" fillId="8" borderId="19" xfId="0" applyNumberFormat="1" applyFill="1" applyBorder="1" applyAlignment="1">
      <alignment horizontal="center"/>
    </xf>
    <xf numFmtId="174" fontId="0" fillId="8" borderId="19" xfId="0" applyNumberFormat="1" applyFill="1" applyBorder="1" applyAlignment="1">
      <alignment horizontal="center" vertical="center"/>
    </xf>
    <xf numFmtId="174" fontId="0" fillId="0" borderId="19" xfId="0" applyNumberFormat="1" applyBorder="1" applyAlignment="1">
      <alignment horizontal="center" vertical="center"/>
    </xf>
    <xf numFmtId="0" fontId="17" fillId="0" borderId="3" xfId="0" applyFont="1" applyBorder="1"/>
    <xf numFmtId="0" fontId="0" fillId="0" borderId="4" xfId="0" applyBorder="1" applyAlignment="1">
      <alignment horizontal="center"/>
    </xf>
    <xf numFmtId="0" fontId="34" fillId="0" borderId="4" xfId="0" applyFont="1" applyBorder="1" applyAlignment="1">
      <alignment horizontal="center"/>
    </xf>
    <xf numFmtId="0" fontId="34" fillId="0" borderId="4" xfId="0" applyFont="1" applyBorder="1" applyAlignment="1">
      <alignment horizontal="center" wrapText="1"/>
    </xf>
    <xf numFmtId="0" fontId="0" fillId="0" borderId="18" xfId="0" applyBorder="1"/>
    <xf numFmtId="0" fontId="0" fillId="0" borderId="19" xfId="0" applyBorder="1" applyAlignment="1">
      <alignment horizontal="center"/>
    </xf>
    <xf numFmtId="0" fontId="10" fillId="7" borderId="52" xfId="0" applyFont="1" applyFill="1" applyBorder="1" applyAlignment="1">
      <alignment horizontal="center" vertical="center" wrapText="1"/>
    </xf>
    <xf numFmtId="0" fontId="34" fillId="0" borderId="19" xfId="0" applyFont="1" applyBorder="1" applyAlignment="1">
      <alignment horizontal="center"/>
    </xf>
    <xf numFmtId="0" fontId="0" fillId="0" borderId="56" xfId="0" applyBorder="1"/>
    <xf numFmtId="0" fontId="0" fillId="0" borderId="55" xfId="0" applyBorder="1" applyAlignment="1">
      <alignment horizontal="center"/>
    </xf>
    <xf numFmtId="0" fontId="22" fillId="0" borderId="55" xfId="0" applyFont="1" applyBorder="1" applyAlignment="1">
      <alignment horizontal="center"/>
    </xf>
    <xf numFmtId="1" fontId="35" fillId="0" borderId="55" xfId="0" applyNumberFormat="1" applyFont="1" applyBorder="1" applyAlignment="1">
      <alignment horizontal="center"/>
    </xf>
    <xf numFmtId="174" fontId="0" fillId="8" borderId="55" xfId="0" applyNumberFormat="1" applyFill="1" applyBorder="1" applyAlignment="1">
      <alignment horizontal="center"/>
    </xf>
    <xf numFmtId="0" fontId="0" fillId="0" borderId="3" xfId="0" applyBorder="1"/>
    <xf numFmtId="0" fontId="22" fillId="0" borderId="4" xfId="0" applyFont="1" applyBorder="1" applyAlignment="1">
      <alignment horizontal="center"/>
    </xf>
    <xf numFmtId="174" fontId="0" fillId="8" borderId="4" xfId="0" applyNumberFormat="1" applyFill="1" applyBorder="1" applyAlignment="1">
      <alignment horizontal="center"/>
    </xf>
    <xf numFmtId="0" fontId="0" fillId="0" borderId="53" xfId="0" applyBorder="1"/>
    <xf numFmtId="0" fontId="0" fillId="0" borderId="54" xfId="0" applyBorder="1" applyAlignment="1">
      <alignment horizontal="center"/>
    </xf>
    <xf numFmtId="0" fontId="35" fillId="0" borderId="4" xfId="0" applyFont="1" applyBorder="1" applyAlignment="1">
      <alignment horizontal="center"/>
    </xf>
    <xf numFmtId="174" fontId="0" fillId="0" borderId="4" xfId="0" applyNumberFormat="1" applyBorder="1" applyAlignment="1">
      <alignment horizontal="center" vertical="center"/>
    </xf>
    <xf numFmtId="1" fontId="0" fillId="0" borderId="5" xfId="0" applyNumberFormat="1" applyBorder="1" applyAlignment="1">
      <alignment horizontal="center" vertical="center"/>
    </xf>
    <xf numFmtId="1" fontId="0" fillId="0" borderId="17" xfId="0" applyNumberFormat="1" applyBorder="1" applyAlignment="1">
      <alignment horizontal="center" vertical="center"/>
    </xf>
    <xf numFmtId="1" fontId="0" fillId="0" borderId="20" xfId="0" applyNumberFormat="1" applyBorder="1" applyAlignment="1">
      <alignment horizontal="center" vertical="center"/>
    </xf>
    <xf numFmtId="0" fontId="22" fillId="0" borderId="54" xfId="0" applyFont="1" applyBorder="1" applyAlignment="1">
      <alignment horizontal="center"/>
    </xf>
    <xf numFmtId="174" fontId="0" fillId="8" borderId="54" xfId="0" applyNumberFormat="1" applyFill="1" applyBorder="1" applyAlignment="1">
      <alignment horizontal="center"/>
    </xf>
    <xf numFmtId="0" fontId="2" fillId="2" borderId="30"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1" fillId="3" borderId="25" xfId="0" applyFont="1" applyFill="1" applyBorder="1" applyAlignment="1">
      <alignment horizontal="center"/>
    </xf>
    <xf numFmtId="9" fontId="2" fillId="2" borderId="26" xfId="0" applyNumberFormat="1" applyFont="1" applyFill="1" applyBorder="1" applyAlignment="1">
      <alignment horizontal="center" vertical="center" wrapText="1"/>
    </xf>
    <xf numFmtId="0" fontId="4" fillId="2" borderId="58" xfId="0" applyFont="1" applyFill="1" applyBorder="1" applyAlignment="1">
      <alignment horizontal="center" vertical="center" wrapText="1"/>
    </xf>
    <xf numFmtId="0" fontId="1" fillId="3" borderId="25" xfId="0" applyFont="1" applyFill="1" applyBorder="1" applyAlignment="1">
      <alignment horizontal="center" vertical="center"/>
    </xf>
    <xf numFmtId="0" fontId="2" fillId="2" borderId="29" xfId="0" applyFont="1" applyFill="1" applyBorder="1" applyAlignment="1">
      <alignment horizontal="center" vertical="center" wrapText="1"/>
    </xf>
    <xf numFmtId="9" fontId="0" fillId="0" borderId="17" xfId="0" applyNumberFormat="1" applyBorder="1" applyAlignment="1">
      <alignment horizontal="center"/>
    </xf>
    <xf numFmtId="0" fontId="16" fillId="2" borderId="60" xfId="0" applyFont="1" applyFill="1" applyBorder="1" applyAlignment="1">
      <alignment horizontal="center" vertical="center" wrapText="1"/>
    </xf>
    <xf numFmtId="178" fontId="0" fillId="7" borderId="18" xfId="0" applyNumberFormat="1" applyFill="1" applyBorder="1" applyAlignment="1">
      <alignment horizontal="center"/>
    </xf>
    <xf numFmtId="0" fontId="16" fillId="2" borderId="4" xfId="0" applyFont="1" applyFill="1" applyBorder="1" applyAlignment="1">
      <alignment horizontal="center" vertical="center" wrapText="1"/>
    </xf>
    <xf numFmtId="0" fontId="16" fillId="2" borderId="5" xfId="0" applyFont="1" applyFill="1" applyBorder="1" applyAlignment="1">
      <alignment horizontal="center" vertical="center"/>
    </xf>
    <xf numFmtId="0" fontId="10" fillId="5" borderId="19" xfId="0" applyFont="1" applyFill="1" applyBorder="1" applyAlignment="1">
      <alignment horizontal="center" vertical="center"/>
    </xf>
    <xf numFmtId="178" fontId="10" fillId="5" borderId="20" xfId="0" applyNumberFormat="1" applyFont="1" applyFill="1" applyBorder="1" applyAlignment="1">
      <alignment horizontal="center" vertical="center"/>
    </xf>
    <xf numFmtId="178" fontId="0" fillId="7" borderId="9" xfId="0" applyNumberFormat="1" applyFill="1" applyBorder="1" applyAlignment="1">
      <alignment horizontal="left" vertical="center"/>
    </xf>
    <xf numFmtId="178" fontId="0" fillId="10" borderId="17" xfId="0" applyNumberFormat="1" applyFill="1" applyBorder="1" applyAlignment="1">
      <alignment horizontal="left" vertical="center"/>
    </xf>
    <xf numFmtId="0" fontId="10" fillId="0" borderId="22" xfId="0" applyFont="1" applyBorder="1" applyAlignment="1">
      <alignment vertical="center"/>
    </xf>
    <xf numFmtId="1" fontId="0" fillId="5" borderId="20" xfId="0" applyNumberFormat="1" applyFill="1" applyBorder="1" applyAlignment="1">
      <alignment horizontal="center"/>
    </xf>
    <xf numFmtId="0" fontId="0" fillId="0" borderId="2" xfId="0" applyBorder="1" applyAlignment="1">
      <alignment horizontal="center" vertical="center"/>
    </xf>
    <xf numFmtId="9" fontId="10" fillId="0" borderId="2" xfId="0" applyNumberFormat="1" applyFont="1" applyBorder="1" applyAlignment="1">
      <alignment horizontal="center" vertical="center"/>
    </xf>
    <xf numFmtId="0" fontId="0" fillId="0" borderId="4" xfId="0" applyBorder="1" applyAlignment="1">
      <alignment horizontal="center" vertical="center"/>
    </xf>
    <xf numFmtId="0" fontId="0" fillId="0" borderId="19" xfId="0" applyBorder="1" applyAlignment="1">
      <alignment horizontal="center" vertical="center"/>
    </xf>
    <xf numFmtId="0" fontId="10" fillId="7" borderId="13" xfId="0" applyFont="1" applyFill="1" applyBorder="1" applyAlignment="1">
      <alignment horizontal="center" vertical="center" textRotation="90"/>
    </xf>
    <xf numFmtId="0" fontId="10" fillId="7" borderId="25" xfId="0" applyFont="1" applyFill="1" applyBorder="1" applyAlignment="1">
      <alignment horizontal="center" vertical="center" textRotation="90"/>
    </xf>
    <xf numFmtId="0" fontId="10" fillId="7" borderId="26" xfId="0" applyFont="1" applyFill="1" applyBorder="1" applyAlignment="1">
      <alignment horizontal="center" vertical="center" textRotation="90"/>
    </xf>
    <xf numFmtId="0" fontId="10" fillId="10" borderId="52" xfId="0" applyFont="1" applyFill="1" applyBorder="1" applyAlignment="1">
      <alignment horizontal="center" vertical="center" textRotation="90"/>
    </xf>
    <xf numFmtId="0" fontId="10" fillId="10" borderId="25" xfId="0" applyFont="1" applyFill="1" applyBorder="1" applyAlignment="1">
      <alignment horizontal="center" vertical="center" textRotation="90"/>
    </xf>
    <xf numFmtId="0" fontId="10" fillId="10" borderId="26" xfId="0" applyFont="1" applyFill="1" applyBorder="1" applyAlignment="1">
      <alignment horizontal="center" vertical="center" textRotation="90"/>
    </xf>
    <xf numFmtId="0" fontId="10" fillId="18" borderId="3" xfId="0" applyFont="1" applyFill="1" applyBorder="1" applyAlignment="1">
      <alignment horizontal="center" vertical="center" textRotation="90" wrapText="1"/>
    </xf>
    <xf numFmtId="0" fontId="10" fillId="18" borderId="16" xfId="0" applyFont="1" applyFill="1" applyBorder="1" applyAlignment="1">
      <alignment horizontal="center" vertical="center" textRotation="90" wrapText="1"/>
    </xf>
    <xf numFmtId="0" fontId="10" fillId="18" borderId="18" xfId="0" applyFont="1" applyFill="1" applyBorder="1" applyAlignment="1">
      <alignment horizontal="center" vertical="center" textRotation="90" wrapText="1"/>
    </xf>
    <xf numFmtId="1" fontId="33" fillId="0" borderId="14" xfId="0" applyNumberFormat="1" applyFont="1" applyBorder="1" applyAlignment="1">
      <alignment horizontal="center" vertical="center"/>
    </xf>
    <xf numFmtId="1" fontId="33" fillId="0" borderId="2" xfId="0" applyNumberFormat="1" applyFont="1" applyBorder="1" applyAlignment="1">
      <alignment horizontal="center" vertical="center"/>
    </xf>
    <xf numFmtId="1" fontId="33" fillId="0" borderId="12" xfId="0" applyNumberFormat="1" applyFont="1" applyBorder="1" applyAlignment="1">
      <alignment horizontal="center" vertical="center"/>
    </xf>
    <xf numFmtId="174" fontId="0" fillId="8" borderId="55" xfId="0" applyNumberFormat="1" applyFill="1" applyBorder="1" applyAlignment="1">
      <alignment horizontal="center" vertical="center"/>
    </xf>
    <xf numFmtId="0" fontId="0" fillId="8" borderId="54" xfId="0" applyFill="1" applyBorder="1" applyAlignment="1">
      <alignment horizontal="center" vertical="center"/>
    </xf>
    <xf numFmtId="0" fontId="0" fillId="0" borderId="4" xfId="0" applyBorder="1" applyAlignment="1">
      <alignment horizontal="center" vertical="center" wrapText="1"/>
    </xf>
    <xf numFmtId="0" fontId="0" fillId="0" borderId="19" xfId="0" applyBorder="1" applyAlignment="1">
      <alignment horizontal="center" vertical="center" wrapText="1"/>
    </xf>
    <xf numFmtId="0" fontId="0" fillId="0" borderId="5" xfId="0" applyBorder="1" applyAlignment="1">
      <alignment horizontal="center" vertical="center"/>
    </xf>
    <xf numFmtId="0" fontId="0" fillId="0" borderId="20" xfId="0" applyBorder="1" applyAlignment="1">
      <alignment horizontal="center" vertical="center"/>
    </xf>
    <xf numFmtId="1" fontId="0" fillId="0" borderId="59" xfId="0" applyNumberFormat="1" applyBorder="1" applyAlignment="1">
      <alignment horizontal="center" vertical="center"/>
    </xf>
    <xf numFmtId="1" fontId="0" fillId="0" borderId="45" xfId="0" applyNumberFormat="1" applyBorder="1" applyAlignment="1">
      <alignment horizontal="center" vertical="center"/>
    </xf>
    <xf numFmtId="0" fontId="0" fillId="0" borderId="4" xfId="0" applyBorder="1" applyAlignment="1">
      <alignment horizontal="center" vertical="center"/>
    </xf>
    <xf numFmtId="0" fontId="0" fillId="0" borderId="19" xfId="0" applyBorder="1" applyAlignment="1">
      <alignment horizontal="center" vertical="center"/>
    </xf>
    <xf numFmtId="174" fontId="0" fillId="0" borderId="55" xfId="0" applyNumberFormat="1" applyBorder="1" applyAlignment="1">
      <alignment horizontal="center" vertical="center"/>
    </xf>
    <xf numFmtId="0" fontId="0" fillId="0" borderId="54" xfId="0" applyBorder="1" applyAlignment="1">
      <alignment horizontal="center" vertical="center"/>
    </xf>
    <xf numFmtId="1" fontId="0" fillId="0" borderId="2" xfId="0" applyNumberFormat="1" applyBorder="1" applyAlignment="1">
      <alignment horizontal="center" vertical="center"/>
    </xf>
    <xf numFmtId="0" fontId="0" fillId="0" borderId="2" xfId="0" applyBorder="1" applyAlignment="1">
      <alignment horizontal="center" vertical="center"/>
    </xf>
    <xf numFmtId="9" fontId="10" fillId="0" borderId="2" xfId="0" applyNumberFormat="1" applyFont="1" applyBorder="1" applyAlignment="1">
      <alignment horizontal="center" vertical="center"/>
    </xf>
    <xf numFmtId="9" fontId="10" fillId="0" borderId="12" xfId="0" applyNumberFormat="1" applyFont="1" applyBorder="1" applyAlignment="1">
      <alignment horizontal="center" vertical="center"/>
    </xf>
    <xf numFmtId="9" fontId="10" fillId="0" borderId="25" xfId="0" applyNumberFormat="1" applyFont="1" applyBorder="1" applyAlignment="1">
      <alignment horizontal="center" vertical="center"/>
    </xf>
    <xf numFmtId="14" fontId="0" fillId="8" borderId="0" xfId="0" applyNumberFormat="1" applyFill="1" applyAlignment="1">
      <alignment horizontal="right"/>
    </xf>
    <xf numFmtId="14" fontId="0" fillId="0" borderId="0" xfId="0" applyNumberFormat="1" applyAlignment="1">
      <alignment horizontal="right"/>
    </xf>
    <xf numFmtId="176" fontId="8" fillId="13" borderId="36" xfId="0" applyNumberFormat="1" applyFont="1" applyFill="1" applyBorder="1" applyAlignment="1">
      <alignment horizontal="right"/>
    </xf>
    <xf numFmtId="167" fontId="8" fillId="13" borderId="36" xfId="0" applyNumberFormat="1" applyFont="1" applyFill="1" applyBorder="1" applyAlignment="1">
      <alignment horizontal="right"/>
    </xf>
    <xf numFmtId="176" fontId="8" fillId="11" borderId="46" xfId="0" applyNumberFormat="1" applyFont="1" applyFill="1" applyBorder="1" applyAlignment="1">
      <alignment horizontal="right"/>
    </xf>
    <xf numFmtId="176" fontId="8" fillId="11" borderId="48" xfId="0" applyNumberFormat="1" applyFont="1" applyFill="1" applyBorder="1" applyAlignment="1">
      <alignment horizontal="right"/>
    </xf>
    <xf numFmtId="176" fontId="8" fillId="8" borderId="0" xfId="0" applyNumberFormat="1" applyFont="1" applyFill="1" applyAlignment="1">
      <alignment horizontal="right"/>
    </xf>
    <xf numFmtId="0" fontId="8" fillId="20" borderId="0" xfId="0" applyFont="1" applyFill="1" applyAlignment="1">
      <alignment horizontal="right"/>
    </xf>
    <xf numFmtId="0" fontId="38" fillId="20" borderId="0" xfId="0" applyFont="1" applyFill="1" applyAlignment="1">
      <alignment horizontal="right"/>
    </xf>
    <xf numFmtId="176" fontId="0" fillId="0" borderId="0" xfId="0" applyNumberFormat="1" applyAlignment="1">
      <alignment horizontal="right"/>
    </xf>
    <xf numFmtId="14" fontId="8" fillId="13" borderId="0" xfId="0" applyNumberFormat="1" applyFont="1" applyFill="1" applyAlignment="1">
      <alignment horizontal="right"/>
    </xf>
    <xf numFmtId="14" fontId="8" fillId="11" borderId="0" xfId="0" applyNumberFormat="1" applyFont="1" applyFill="1" applyAlignment="1">
      <alignment horizontal="right"/>
    </xf>
    <xf numFmtId="14" fontId="0" fillId="19" borderId="0" xfId="0" applyNumberFormat="1" applyFill="1" applyAlignment="1">
      <alignment horizontal="right"/>
    </xf>
    <xf numFmtId="14" fontId="0" fillId="16" borderId="0" xfId="0" applyNumberFormat="1" applyFill="1" applyAlignment="1">
      <alignment horizontal="right"/>
    </xf>
    <xf numFmtId="172" fontId="0" fillId="0" borderId="0" xfId="0" applyNumberFormat="1" applyAlignment="1">
      <alignment horizontal="right"/>
    </xf>
    <xf numFmtId="171" fontId="0" fillId="0" borderId="0" xfId="0" applyNumberFormat="1" applyAlignment="1">
      <alignment horizontal="right"/>
    </xf>
    <xf numFmtId="177" fontId="39" fillId="17" borderId="7" xfId="0" applyNumberFormat="1"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left" wrapText="1"/>
    </xf>
    <xf numFmtId="0" fontId="0" fillId="0" borderId="1" xfId="0" applyBorder="1" applyAlignment="1">
      <alignment horizontal="left"/>
    </xf>
    <xf numFmtId="0" fontId="0" fillId="0" borderId="1" xfId="0" applyBorder="1" applyAlignment="1">
      <alignment horizontal="left" vertical="center" wrapText="1"/>
    </xf>
    <xf numFmtId="1" fontId="0" fillId="0" borderId="0" xfId="0" applyNumberFormat="1" applyAlignment="1">
      <alignment horizontal="center" vertical="center"/>
    </xf>
    <xf numFmtId="0" fontId="0" fillId="0" borderId="0" xfId="0" applyAlignment="1">
      <alignment horizontal="left" vertical="center"/>
    </xf>
    <xf numFmtId="1" fontId="0" fillId="0" borderId="0" xfId="0" applyNumberFormat="1" applyAlignment="1">
      <alignment horizontal="right" vertical="center"/>
    </xf>
    <xf numFmtId="1" fontId="0" fillId="0" borderId="2" xfId="0" applyNumberFormat="1" applyBorder="1" applyAlignment="1">
      <alignment horizontal="right" vertical="center"/>
    </xf>
    <xf numFmtId="0" fontId="0" fillId="0" borderId="0" xfId="0" applyAlignment="1">
      <alignment horizontal="right" vertical="center"/>
    </xf>
    <xf numFmtId="0" fontId="0" fillId="0" borderId="2" xfId="0" applyBorder="1" applyAlignment="1">
      <alignment horizontal="right" vertical="center"/>
    </xf>
    <xf numFmtId="0" fontId="2" fillId="2" borderId="11" xfId="0" applyFont="1" applyFill="1" applyBorder="1" applyAlignment="1">
      <alignment horizontal="right" vertical="center" wrapText="1"/>
    </xf>
    <xf numFmtId="1" fontId="20" fillId="8" borderId="4" xfId="0" applyNumberFormat="1" applyFont="1" applyFill="1" applyBorder="1" applyAlignment="1">
      <alignment horizontal="center" vertical="center" wrapText="1"/>
    </xf>
  </cellXfs>
  <cellStyles count="2">
    <cellStyle name="Currency [0]" xfId="1" builtinId="7"/>
    <cellStyle name="Normal" xfId="0" builtinId="0"/>
  </cellStyles>
  <dxfs count="23">
    <dxf>
      <numFmt numFmtId="13" formatCode="0%"/>
      <alignment horizontal="center" vertical="center" relativeInden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color rgb="FF006100"/>
      </font>
      <fill>
        <patternFill>
          <bgColor rgb="FFC6EFCE"/>
        </patternFill>
      </fill>
    </dxf>
    <dxf>
      <font>
        <color theme="1"/>
      </font>
      <fill>
        <patternFill patternType="solid">
          <bgColor rgb="FFFF0000"/>
        </patternFill>
      </fill>
    </dxf>
    <dxf>
      <font>
        <color theme="1"/>
      </font>
      <fill>
        <patternFill patternType="solid">
          <bgColor rgb="FF62FF0D"/>
        </patternFill>
      </fill>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medium">
          <color rgb="FF000000"/>
        </left>
        <right style="medium">
          <color rgb="FF000000"/>
        </right>
        <top style="medium">
          <color rgb="FF000000"/>
        </top>
        <bottom style="medium">
          <color rgb="FF000000"/>
        </bottom>
      </border>
    </dxf>
    <dxf>
      <border outline="0">
        <bottom style="thin">
          <color rgb="FF000000"/>
        </bottom>
      </border>
    </dxf>
    <dxf>
      <numFmt numFmtId="179" formatCode="m/d/yyyy"/>
      <fill>
        <patternFill patternType="none"/>
      </fill>
      <alignment horizontal="center"/>
      <border>
        <left style="medium">
          <color rgb="FF000000"/>
        </left>
        <right style="medium">
          <color rgb="FF000000"/>
        </right>
      </border>
    </dxf>
    <dxf>
      <alignment horizontal="center"/>
      <border>
        <left style="medium">
          <color rgb="FF000000"/>
        </left>
        <right style="medium">
          <color rgb="FF000000"/>
        </right>
      </border>
    </dxf>
    <dxf>
      <alignment horizontal="center"/>
      <border>
        <left style="medium">
          <color rgb="FF000000"/>
        </left>
        <right style="medium">
          <color rgb="FF000000"/>
        </right>
      </border>
    </dxf>
    <dxf>
      <alignment horizontal="center"/>
      <border>
        <left style="medium">
          <color rgb="FF000000"/>
        </left>
        <right style="medium">
          <color rgb="FF000000"/>
        </right>
      </border>
    </dxf>
    <dxf>
      <border>
        <left style="medium">
          <color rgb="FF000000"/>
        </left>
        <right style="medium">
          <color rgb="FF000000"/>
        </right>
      </border>
    </dxf>
    <dxf>
      <border>
        <bottom style="medium">
          <color rgb="FF000000"/>
        </bottom>
      </border>
    </dxf>
    <dxf>
      <font>
        <b/>
      </font>
      <fill>
        <patternFill patternType="solid">
          <fgColor indexed="64"/>
          <bgColor rgb="FF00B0F0"/>
        </patternFill>
      </fill>
      <alignment horizontal="center" vertical="center"/>
    </dxf>
    <dxf>
      <font>
        <b val="0"/>
      </font>
      <numFmt numFmtId="170" formatCode="0.0%"/>
      <fill>
        <patternFill patternType="solid">
          <fgColor indexed="64"/>
          <bgColor theme="0"/>
        </patternFill>
      </fill>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2"/>
        <color rgb="FF000000"/>
        <name val="Calibri"/>
        <family val="2"/>
        <scheme val="minor"/>
      </font>
      <fill>
        <patternFill patternType="solid">
          <fgColor indexed="64"/>
          <bgColor theme="0"/>
        </patternFill>
      </fill>
      <alignment horizontal="left" vertical="center"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medium">
          <color rgb="FF000000"/>
        </left>
        <right style="medium">
          <color rgb="FF000000"/>
        </right>
        <top style="medium">
          <color rgb="FF000000"/>
        </top>
        <bottom style="medium">
          <color rgb="FF000000"/>
        </bottom>
      </border>
    </dxf>
    <dxf>
      <font>
        <b val="0"/>
      </font>
      <fill>
        <patternFill patternType="solid">
          <fgColor indexed="64"/>
          <bgColor theme="0"/>
        </patternFill>
      </fill>
    </dxf>
    <dxf>
      <border>
        <bottom style="thin">
          <color rgb="FF000000"/>
        </bottom>
      </border>
    </dxf>
    <dxf>
      <font>
        <b/>
        <i val="0"/>
        <strike val="0"/>
        <condense val="0"/>
        <extend val="0"/>
        <outline val="0"/>
        <shadow val="0"/>
        <u val="none"/>
        <vertAlign val="baseline"/>
        <sz val="12"/>
        <color rgb="FF000000"/>
        <name val="Calibri"/>
        <family val="2"/>
        <scheme val="minor"/>
      </font>
      <fill>
        <patternFill patternType="solid">
          <fgColor indexed="64"/>
          <bgColor rgb="FF00B0F0"/>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Medium9"/>
  <colors>
    <mruColors>
      <color rgb="FFFF8FAF"/>
      <color rgb="FFFF7700"/>
      <color rgb="FFFF3700"/>
      <color rgb="FFEB75CB"/>
      <color rgb="FFFF9EBA"/>
      <color rgb="FFFF85A7"/>
      <color rgb="FFFF0088"/>
      <color rgb="FFC71212"/>
      <color rgb="FFFFCCF1"/>
      <color rgb="FFF779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Wealth Distribution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Savings!$B$93:$B$95</c:f>
              <c:strCache>
                <c:ptCount val="3"/>
                <c:pt idx="0">
                  <c:v>Distribution</c:v>
                </c:pt>
                <c:pt idx="1">
                  <c:v>3.52%</c:v>
                </c:pt>
                <c:pt idx="2">
                  <c:v>3.72%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6A-41B7-A949-0486E6C52B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6A-41B7-A949-0486E6C52B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6A-41B7-A949-0486E6C52B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6A-41B7-A949-0486E6C52B4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D6A-410D-846C-E9CB1918C8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15A-4366-9445-D03B935A3D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Savings!$A$94:$A$99</c:f>
              <c:strCache>
                <c:ptCount val="6"/>
                <c:pt idx="0">
                  <c:v>Emergency Fund</c:v>
                </c:pt>
                <c:pt idx="1">
                  <c:v>Pension Fund</c:v>
                </c:pt>
                <c:pt idx="2">
                  <c:v>Debt Funds (PPF, Cushion FDs, Savings)</c:v>
                </c:pt>
                <c:pt idx="3">
                  <c:v>Indian Equity (MF, ETF, Stock)</c:v>
                </c:pt>
                <c:pt idx="4">
                  <c:v>Foreign Equity (ETF, Stock)</c:v>
                </c:pt>
                <c:pt idx="5">
                  <c:v>Crypto Assets</c:v>
                </c:pt>
              </c:strCache>
            </c:strRef>
          </c:cat>
          <c:val>
            <c:numRef>
              <c:f>Savings!$B$94:$B$99</c:f>
              <c:numCache>
                <c:formatCode>0.00%</c:formatCode>
                <c:ptCount val="6"/>
                <c:pt idx="0">
                  <c:v>3.5249072784417967E-2</c:v>
                </c:pt>
                <c:pt idx="1">
                  <c:v>3.7241415548543759E-2</c:v>
                </c:pt>
                <c:pt idx="2">
                  <c:v>0.13835969854907654</c:v>
                </c:pt>
                <c:pt idx="3">
                  <c:v>8.0630470134397378E-2</c:v>
                </c:pt>
                <c:pt idx="4">
                  <c:v>0.41721477387567846</c:v>
                </c:pt>
                <c:pt idx="5">
                  <c:v>1.5400895491658892E-2</c:v>
                </c:pt>
              </c:numCache>
            </c:numRef>
          </c:val>
          <c:extLst>
            <c:ext xmlns:c16="http://schemas.microsoft.com/office/drawing/2014/chart" uri="{C3380CC4-5D6E-409C-BE32-E72D297353CC}">
              <c16:uniqueId val="{00000004-4EF2-46A3-B8C2-1EEBFE6FBA7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9525</xdr:colOff>
      <xdr:row>0</xdr:row>
      <xdr:rowOff>0</xdr:rowOff>
    </xdr:from>
    <xdr:to>
      <xdr:col>12</xdr:col>
      <xdr:colOff>76200</xdr:colOff>
      <xdr:row>14</xdr:row>
      <xdr:rowOff>190499</xdr:rowOff>
    </xdr:to>
    <xdr:graphicFrame macro="">
      <xdr:nvGraphicFramePr>
        <xdr:cNvPr id="2" name="Chart 1">
          <a:extLst>
            <a:ext uri="{FF2B5EF4-FFF2-40B4-BE49-F238E27FC236}">
              <a16:creationId xmlns:a16="http://schemas.microsoft.com/office/drawing/2014/main" id="{89A7CA0C-FA22-DB77-83AD-99EB1731C8AB}"/>
            </a:ext>
            <a:ext uri="{147F2762-F138-4A5C-976F-8EAC2B608ADB}">
              <a16:predDERef xmlns:a16="http://schemas.microsoft.com/office/drawing/2014/main" pred="{1A292843-D3D0-890E-CE48-65C7026A3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82">
  <rv s="0">
    <v>http://en.wikipedia.org/wiki/Public_domain</v>
    <v>Public domain</v>
  </rv>
  <rv s="0">
    <v>https://en.wikipedia.org/wiki/Microsoft</v>
    <v>Wikipedia</v>
  </rv>
  <rv s="1">
    <v>0</v>
    <v>1</v>
  </rv>
  <rv s="2">
    <v>6</v>
    <v>https://www.bing.com/th?id=AMMS_e6e837c7bf3a77408619758b7447855a&amp;qlt=95</v>
    <v>2</v>
    <v>0</v>
    <v>https://www.bing.com/images/search?form=xlimg&amp;q=microsoft</v>
    <v>Image of MICROSOFT CORPORATION</v>
  </rv>
  <rv s="0">
    <v>https://www.bing.com/financeapi/forcetrigger?t=a1xzim&amp;q=XNAS%3aMSFT&amp;form=skydnc</v>
    <v>Learn more on Bing</v>
  </rv>
  <rv s="3">
    <v>en-GB</v>
    <v>a1xzim</v>
    <v>268435456</v>
    <v>1</v>
    <v>Powered by Refinitiv</v>
    <v>0</v>
    <v>MICROSOFT CORPORATION (XNAS:MSFT)</v>
    <v>3</v>
    <v>4</v>
    <v>Finance</v>
    <v>5</v>
    <v>553.72</v>
    <v>349.2</v>
    <v>1.1036999999999999</v>
    <v>-2.2999999999999998</v>
    <v>1.0809999999999999E-3</v>
    <v>-4.6560000000000004E-3</v>
    <v>0.53159999999999996</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223000</v>
    <v>Nasdaq Stock Market</v>
    <v>XNAS</v>
    <v>XNAS</v>
    <v>One Microsoft Way, REDMOND, WA, 98052 US</v>
    <v>494.39</v>
    <v>3</v>
    <v>Software &amp; IT Services</v>
    <v>Stock</v>
    <v>46274.999862557816</v>
    <v>4</v>
    <v>489.8</v>
    <v>3650769199250</v>
    <v>MICROSOFT CORPORATION</v>
    <v>MICROSOFT CORPORATION</v>
    <v>493.07</v>
    <v>27.395099999999999</v>
    <v>493.95</v>
    <v>491.65</v>
    <v>492.1816</v>
    <v>7425545000</v>
    <v>MSFT</v>
    <v>MICROSOFT CORPORATION (XNAS:MSFT)</v>
    <v>12889572</v>
    <v>25118783</v>
    <v>1993</v>
  </rv>
  <rv s="4">
    <v>5</v>
  </rv>
  <rv s="0">
    <v>https://www.bing.com/financeapi/forcetrigger?t=a1u3rw&amp;q=XNAS%3aGOOGL&amp;form=skydnc</v>
    <v>Learn more on Bing</v>
  </rv>
  <rv s="5">
    <v>en-US</v>
    <v>a1u3rw</v>
    <v>268435456</v>
    <v>1</v>
    <v>Powered by Refinitiv</v>
    <v>7</v>
    <v>ALPHABET INC. (XNAS:GOOGL)</v>
    <v>8</v>
    <v>9</v>
    <v>Finance</v>
    <v>5</v>
    <v>408.61</v>
    <v>233.22900000000001</v>
    <v>1.2138</v>
    <v>-7.71</v>
    <v>1.0249999999999999E-3</v>
    <v>-2.2786000000000001E-2</v>
    <v>0.33889999999999998</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198933</v>
    <v>Nasdaq Stock Market</v>
    <v>XNAS</v>
    <v>XNAS</v>
    <v>1600 Amphitheatre Parkway, MOUNTAIN VIEW, CA, 94043 US</v>
    <v>331.85</v>
    <v>Software &amp; IT Services</v>
    <v>Stock</v>
    <v>46274.999998703126</v>
    <v>7</v>
    <v>327.9</v>
    <v>4043849499999</v>
    <v>ALPHABET INC.</v>
    <v>ALPHABET INC.</v>
    <v>331.65</v>
    <v>16.590599999999998</v>
    <v>338.36</v>
    <v>330.65</v>
    <v>330.9889</v>
    <v>12230000000</v>
    <v>GOOGL</v>
    <v>ALPHABET INC. (XNAS:GOOGL)</v>
    <v>33151627</v>
    <v>23823166</v>
    <v>2015</v>
  </rv>
  <rv s="4">
    <v>8</v>
  </rv>
  <rv s="0">
    <v>https://www.bing.com/financeapi/forcetrigger?t=a25hm7&amp;q=ARCX%3aVOO&amp;form=skydnc</v>
    <v>Learn more on Bing</v>
  </rv>
  <rv s="6">
    <v>en-US</v>
    <v>a25hm7</v>
    <v>268435456</v>
    <v>1</v>
    <v>Powered by Refinitiv</v>
    <v>10</v>
    <v>Vanguard 500 Idx;ETF (ARCX:VOO)</v>
    <v>11</v>
    <v>12</v>
    <v>Finance</v>
    <v>13</v>
    <v>716.39</v>
    <v>578.46</v>
    <v>1.0002</v>
    <v>-3.2</v>
    <v>-4.5450000000000004E-3</v>
    <v>USD</v>
    <v>NYSE Arca</v>
    <v>ARCX</v>
    <v>2.9999999999999997E-4</v>
    <v>702.71</v>
    <v>ETF</v>
    <v>46275.000001816406</v>
    <v>10</v>
    <v>699.48500000000001</v>
    <v>1048768411404</v>
    <v>Vanguard 500 Idx;ETF</v>
    <v>702.35</v>
    <v>704.07</v>
    <v>700.87</v>
    <v>VOO</v>
    <v>Vanguard 500 Idx;ETF (ARCX:VOO)</v>
    <v>4300871</v>
    <v>6448498</v>
  </rv>
  <rv s="4">
    <v>11</v>
  </rv>
  <rv s="0">
    <v>https://www.bing.com/financeapi/forcetrigger?t=a21mim&amp;q=XNAS%3aQQQ&amp;form=skydnc</v>
    <v>Learn more on Bing</v>
  </rv>
  <rv s="7">
    <v>en-US</v>
    <v>a21mim</v>
    <v>268435456</v>
    <v>1</v>
    <v>Powered by Refinitiv</v>
    <v>14</v>
    <v>Invesco QQQ Trust 1 (XNAS:QQQ)</v>
    <v>11</v>
    <v>15</v>
    <v>Finance</v>
    <v>16</v>
    <v>748.65</v>
    <v>555.6</v>
    <v>1.0137</v>
    <v>-2.0499999999999998</v>
    <v>2.7920000000000001E-4</v>
    <v>-2.8539999999999998E-3</v>
    <v>0.2</v>
    <v>USD</v>
    <v>Nasdaq Stock Market</v>
    <v>XNAS</v>
    <v>1.8E-3</v>
    <v>719.7</v>
    <v>ETF</v>
    <v>46274.999981770314</v>
    <v>13</v>
    <v>714.02</v>
    <v>488981000838.15997</v>
    <v>Invesco QQQ Trust 1</v>
    <v>716.4</v>
    <v>718.36</v>
    <v>716.31</v>
    <v>716.51</v>
    <v>QQQ</v>
    <v>Invesco QQQ Trust 1 (XNAS:QQQ)</v>
    <v>26763377</v>
    <v>32064150</v>
  </rv>
  <rv s="4">
    <v>14</v>
  </rv>
  <rv s="0">
    <v>https://www.bing.com/financeapi/forcetrigger?t=bwgc1h&amp;q=XNAS%3aQQQM&amp;form=skydnc</v>
    <v>Learn more on Bing</v>
  </rv>
  <rv s="7">
    <v>en-US</v>
    <v>bwgc1h</v>
    <v>268435456</v>
    <v>1</v>
    <v>Powered by Refinitiv</v>
    <v>14</v>
    <v>Invesco NASDAQ 100 (XNAS:QQQM)</v>
    <v>11</v>
    <v>15</v>
    <v>Finance</v>
    <v>16</v>
    <v>308.20999999999998</v>
    <v>228.75</v>
    <v>1.0139</v>
    <v>-0.79</v>
    <v>3.7600000000000003E-4</v>
    <v>-2.6710000000000002E-3</v>
    <v>0.1109</v>
    <v>USD</v>
    <v>Nasdaq Stock Market</v>
    <v>XNAS</v>
    <v>1.5E-3</v>
    <v>296.27</v>
    <v>ETF</v>
    <v>46274.99972194375</v>
    <v>16</v>
    <v>294.01</v>
    <v>104376492443.45</v>
    <v>Invesco NASDAQ 100</v>
    <v>294.98</v>
    <v>295.76</v>
    <v>294.97000000000003</v>
    <v>295.08089999999999</v>
    <v>QQQM</v>
    <v>Invesco NASDAQ 100 (XNAS:QQQM)</v>
    <v>1903263</v>
    <v>2772143</v>
  </rv>
  <rv s="4">
    <v>17</v>
  </rv>
  <rv s="0">
    <v>https://www.bing.com/financeapi/forcetrigger?t=a1sgec&amp;q=ARCX%3aEWS&amp;form=skydnc</v>
    <v>Learn more on Bing</v>
  </rv>
  <rv s="6">
    <v>en-US</v>
    <v>a1sgec</v>
    <v>268435456</v>
    <v>1</v>
    <v>Powered by Refinitiv</v>
    <v>10</v>
    <v>iShares:MSCI Singapore (ARCX:EWS)</v>
    <v>11</v>
    <v>12</v>
    <v>Finance</v>
    <v>13</v>
    <v>34.6</v>
    <v>26.695</v>
    <v>0.45279999999999998</v>
    <v>-0.5</v>
    <v>-1.4590000000000001E-2</v>
    <v>USD</v>
    <v>NYSE Arca</v>
    <v>ARCX</v>
    <v>5.0000000000000001E-3</v>
    <v>33.950000000000003</v>
    <v>ETF</v>
    <v>46275.000000798434</v>
    <v>19</v>
    <v>33.715000000000003</v>
    <v>1249406883.9400001</v>
    <v>iShares:MSCI Singapore</v>
    <v>33.950000000000003</v>
    <v>34.270000000000003</v>
    <v>33.770000000000003</v>
    <v>EWS</v>
    <v>iShares:MSCI Singapore (ARCX:EWS)</v>
    <v>3224853</v>
    <v>835057</v>
  </rv>
  <rv s="4">
    <v>20</v>
  </rv>
  <rv s="0">
    <v>https://www.bing.com/financeapi/forcetrigger?t=a23bxm&amp;q=XNAS%3aSOXX&amp;form=skydnc</v>
    <v>Learn more on Bing</v>
  </rv>
  <rv s="7">
    <v>en-US</v>
    <v>a23bxm</v>
    <v>268435456</v>
    <v>1</v>
    <v>Powered by Refinitiv</v>
    <v>14</v>
    <v>iShares:Semiconductor (XNAS:SOXX)</v>
    <v>11</v>
    <v>15</v>
    <v>Finance</v>
    <v>16</v>
    <v>655.95</v>
    <v>247.23</v>
    <v>1.8007</v>
    <v>3.6</v>
    <v>-3.7589999999999998E-4</v>
    <v>6.8130000000000005E-3</v>
    <v>-0.2</v>
    <v>USD</v>
    <v>Nasdaq Stock Market</v>
    <v>XNAS</v>
    <v>3.3E-3</v>
    <v>535.48</v>
    <v>ETF</v>
    <v>46274.999395878905</v>
    <v>22</v>
    <v>524.85</v>
    <v>41810909103.889999</v>
    <v>iShares:Semiconductor</v>
    <v>524.85</v>
    <v>528.4</v>
    <v>532</v>
    <v>531.79999999999995</v>
    <v>SOXX</v>
    <v>iShares:Semiconductor (XNAS:SOXX)</v>
    <v>6436936</v>
    <v>7391840</v>
  </rv>
  <rv s="4">
    <v>23</v>
  </rv>
  <rv s="0">
    <v>https://www.bing.com/financeapi/forcetrigger?t=a1qcu2&amp;q=XNAS%3aCRSP&amp;form=skydnc</v>
    <v>Learn more on Bing</v>
  </rv>
  <rv s="5">
    <v>en-US</v>
    <v>a1qcu2</v>
    <v>268435456</v>
    <v>1</v>
    <v>Powered by Refinitiv</v>
    <v>7</v>
    <v>CRISPR Therapeutics Ltd (XNAS:CRSP)</v>
    <v>8</v>
    <v>9</v>
    <v>Finance</v>
    <v>5</v>
    <v>78.48</v>
    <v>44.12</v>
    <v>1.7597</v>
    <v>-1.33</v>
    <v>3.9290000000000002E-3</v>
    <v>-2.4279000000000002E-2</v>
    <v>0.21</v>
    <v>USD</v>
    <v>CRISPR Therapeutics AG is a Switzerland-based gene editing company focused on the development of CRISPR/Cas9-based therapeutics. CRISPR/Cas9 stands for Clustered Regularly Interspaced Short Palindromic Repeats (CRISPR)/CRISPR-associated protein 9 (Cas9) and is a technology for gene editing, the process of precisely altering specific sequences of genomic DNA. The Company aims to apply this technology to disrupt, delete, correct and insert genes to treat genetically-defined diseases and to engineer advanced cellular therapies. The Company has acquired the rights to the intellectual property (IP) encompassing CRISPR/Cas9 and related technologies and is also involved in its own IP research and additional in-licensing efforts. The Company product development and partnership strategies are designed to exploit the full potential of the CRISPR/Cas9 platform while maximizing the probability of successfully developing their product candidates.</v>
    <v>393</v>
    <v>Nasdaq Stock Market</v>
    <v>XNAS</v>
    <v>XNAS</v>
    <v>Baarerstrasse 14, ZUG, ZUG, 6300 CH</v>
    <v>54.9</v>
    <v>Biotechnology &amp; Medical Research</v>
    <v>Stock</v>
    <v>46274.994509478907</v>
    <v>25</v>
    <v>53.31</v>
    <v>5168222142</v>
    <v>CRISPR Therapeutics Ltd</v>
    <v>CRISPR Therapeutics Ltd</v>
    <v>54.594999999999999</v>
    <v>0</v>
    <v>54.78</v>
    <v>53.45</v>
    <v>53.66</v>
    <v>96692650</v>
    <v>CRSP</v>
    <v>CRISPR Therapeutics Ltd (XNAS:CRSP)</v>
    <v>1184581</v>
    <v>1439221</v>
    <v>2013</v>
  </rv>
  <rv s="4">
    <v>26</v>
  </rv>
  <rv s="0">
    <v>https://www.bing.com/financeapi/forcetrigger?t=a1ntlh&amp;q=XNAS%3aASML&amp;form=skydnc</v>
    <v>Learn more on Bing</v>
  </rv>
  <rv s="5">
    <v>en-US</v>
    <v>a1ntlh</v>
    <v>268435456</v>
    <v>1</v>
    <v>Powered by Refinitiv</v>
    <v>7</v>
    <v>ASML Holding N.V. (XNAS:ASML)</v>
    <v>8</v>
    <v>9</v>
    <v>Finance</v>
    <v>5</v>
    <v>1999.96</v>
    <v>791.02</v>
    <v>1.7708999999999999</v>
    <v>-35.33</v>
    <v>1.787E-3</v>
    <v>-2.0018999999999999E-2</v>
    <v>3.09</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43938</v>
    <v>Nasdaq Stock Market</v>
    <v>XNAS</v>
    <v>XNAS</v>
    <v>De Run 6501, VELDHOVEN, NOORD-BRABANT, 5504DR NL</v>
    <v>1750.89</v>
    <v>Semiconductors &amp; Semiconductor Equipment</v>
    <v>Stock</v>
    <v>46274.999961550784</v>
    <v>28</v>
    <v>1722.92</v>
    <v>671309210104</v>
    <v>ASML Holding N.V.</v>
    <v>ASML Holding N.V.</v>
    <v>1727.72</v>
    <v>57.1036</v>
    <v>1764.85</v>
    <v>1729.52</v>
    <v>1732.61</v>
    <v>388147700</v>
    <v>ASML</v>
    <v>ASML Holding N.V. (XNAS:ASML)</v>
    <v>1062851</v>
    <v>1177587</v>
    <v>1994</v>
  </rv>
  <rv s="4">
    <v>29</v>
  </rv>
  <rv s="0">
    <v>https://www.bing.com/financeapi/forcetrigger?t=a1nhlh&amp;q=XNAS%3aAMZN&amp;form=skydnc</v>
    <v>Learn more on Bing</v>
  </rv>
  <rv s="5">
    <v>en-US</v>
    <v>a1nhlh</v>
    <v>268435456</v>
    <v>1</v>
    <v>Powered by Refinitiv</v>
    <v>7</v>
    <v>AMAZON.COM, INC. (XNAS:AMZN)</v>
    <v>8</v>
    <v>9</v>
    <v>Finance</v>
    <v>5</v>
    <v>287.2</v>
    <v>196</v>
    <v>1.4525999999999999</v>
    <v>-4.57</v>
    <v>1.3789999999999999E-4</v>
    <v>-1.7784000000000001E-2</v>
    <v>3.4799999999999998E-2</v>
    <v>USD</v>
    <v>Amazon.com, Inc. offers a variety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1595000</v>
    <v>Nasdaq Stock Market</v>
    <v>XNAS</v>
    <v>XNAS</v>
    <v>410 Terry Avenue North, SEATTLE, WA, 98109 US</v>
    <v>254.69</v>
    <v>Diversified Retail</v>
    <v>Stock</v>
    <v>46274.999958251559</v>
    <v>31</v>
    <v>250.65</v>
    <v>2722464644000</v>
    <v>AMAZON.COM, INC.</v>
    <v>AMAZON.COM, INC.</v>
    <v>253.12</v>
    <v>20.301400000000001</v>
    <v>256.97000000000003</v>
    <v>252.4</v>
    <v>252.4348</v>
    <v>10786310000</v>
    <v>AMZN</v>
    <v>AMAZON.COM, INC. (XNAS:AMZN)</v>
    <v>33055487</v>
    <v>34511462</v>
    <v>1996</v>
  </rv>
  <rv s="4">
    <v>32</v>
  </rv>
  <rv s="0">
    <v>https://www.bing.com/financeapi/forcetrigger?t=c2mtim&amp;q=XNAS%3aDUOL&amp;form=skydnc</v>
    <v>Learn more on Bing</v>
  </rv>
  <rv s="5">
    <v>en-US</v>
    <v>c2mtim</v>
    <v>268435456</v>
    <v>1</v>
    <v>Powered by Refinitiv</v>
    <v>7</v>
    <v>DUOLINGO, INC. (XNAS:DUOL)</v>
    <v>8</v>
    <v>9</v>
    <v>Finance</v>
    <v>5</v>
    <v>353</v>
    <v>87.89</v>
    <v>1.0465</v>
    <v>-7.15</v>
    <v>4.8840000000000003E-3</v>
    <v>-4.8841999999999997E-2</v>
    <v>0.68</v>
    <v>USD</v>
    <v>Duolingo, Inc. is a technology company. The Company is engaged in offering a mobile learning platform, as well as a digital English language proficiency assessment exam. It operates a freemium business model, namely, the app and the Website are accessible free of charge, although Duolingo also offers premium services for a subscription fee. Its solutions consist of the Duolingo App, Super Duolingo, Duolingo Max, Duolingo English Test: AI-Driven Language Assessment, Duolingo for Schools, and Duolingo ABC. The Duolingo App offers courses in over 40 different languages, including Spanish, English, French, German, Italian, Portuguese, Japanese and Chinese. Duolingo can also be accessed on desktop computers via a Web browser. Its subscription offering, Super Duolingo, offers learners additional features to enhance their learning experience. The Duolingo English Test is an online, on-demand, high-stakes English proficiency assessment. It also operates an animation and motion design studio.</v>
    <v>900</v>
    <v>Nasdaq Stock Market</v>
    <v>XNAS</v>
    <v>XNAS</v>
    <v>5900 PENN AVE, SECOND FLOOR, PITTSBURGH, PA, 15206 US</v>
    <v>145.88999999999999</v>
    <v>Software &amp; IT Services</v>
    <v>Stock</v>
    <v>46274.996910635935</v>
    <v>34</v>
    <v>138.80000000000001</v>
    <v>6514520234</v>
    <v>DUOLINGO, INC.</v>
    <v>DUOLINGO, INC.</v>
    <v>145.58000000000001</v>
    <v>16.596900000000002</v>
    <v>146.38999999999999</v>
    <v>139.24</v>
    <v>139.91999999999999</v>
    <v>46786270</v>
    <v>DUOL</v>
    <v>DUOLINGO, INC. (XNAS:DUOL)</v>
    <v>1267291</v>
    <v>1369143</v>
    <v>2011</v>
  </rv>
  <rv s="4">
    <v>35</v>
  </rv>
  <rv s="0">
    <v>https://www.bing.com/financeapi/forcetrigger?t=bsmyr7&amp;q=XNAS%3aASTS&amp;form=skydnc</v>
    <v>Learn more on Bing</v>
  </rv>
  <rv s="5">
    <v>en-US</v>
    <v>bsmyr7</v>
    <v>268435456</v>
    <v>1</v>
    <v>Powered by Refinitiv</v>
    <v>7</v>
    <v>AST SPACEMOBILE, INC. (XNAS:ASTS)</v>
    <v>8</v>
    <v>9</v>
    <v>Finance</v>
    <v>5</v>
    <v>133.85990000000001</v>
    <v>36.08</v>
    <v>2.6924000000000001</v>
    <v>-3.7</v>
    <v>-1.9220000000000001E-3</v>
    <v>-5.5959000000000002E-2</v>
    <v>-0.12</v>
    <v>USD</v>
    <v>AST SpaceMobile, Inc. is engaged in building a global cellular broadband network in space to operate directly with standard, unmodified mobile devices based on its intellectual property (IP) and patent portfolio and designed for both commercial and government applications. The Company is engaged in designing and developing the constellation of BlueBird (BB) satellites and has planned a space-based Cellular Broadband network distributed through a constellation of low Earth orbit (LEO) satellites. Its SpaceMobile Service is being designed to provide high-speed cellular broadband services to end-users who are out of terrestrial cellular coverage using existing mobile devices. The Company intends to continue testing capabilities of the BW3 test satellite, including further testing with cellular service providers and the government. The Company has operations in India, Scotland, Spain, and Israel.</v>
    <v>1126</v>
    <v>Nasdaq Stock Market</v>
    <v>XNAS</v>
    <v>XNAS</v>
    <v>Midland Intl. Air &amp; Space Port, 2901 Enterprise Lane, MIDLAND, TX, 79706 US</v>
    <v>66.72</v>
    <v>Telecommunications Services</v>
    <v>Stock</v>
    <v>46274.999976133593</v>
    <v>37</v>
    <v>62.42</v>
    <v>24291835350</v>
    <v>AST SPACEMOBILE, INC.</v>
    <v>AST SPACEMOBILE, INC.</v>
    <v>66.569999999999993</v>
    <v>0</v>
    <v>66.12</v>
    <v>62.42</v>
    <v>62.3</v>
    <v>389167500</v>
    <v>ASTS</v>
    <v>AST SPACEMOBILE, INC. (XNAS:ASTS)</v>
    <v>8297837</v>
    <v>10984346</v>
    <v>2019</v>
  </rv>
  <rv s="4">
    <v>38</v>
  </rv>
  <rv s="0">
    <v>https://www.bing.com/financeapi/forcetrigger?t=bsgk4c&amp;q=XNAS%3aBEAM&amp;form=skydnc</v>
    <v>Learn more on Bing</v>
  </rv>
  <rv s="5">
    <v>en-US</v>
    <v>bsgk4c</v>
    <v>268435456</v>
    <v>1</v>
    <v>Powered by Refinitiv</v>
    <v>7</v>
    <v>BEAM THERAPEUTICS INC. (XNAS:BEAM)</v>
    <v>8</v>
    <v>9</v>
    <v>Finance</v>
    <v>5</v>
    <v>38.26</v>
    <v>19.355</v>
    <v>2.1901999999999999</v>
    <v>-1.655</v>
    <v>7.3489999999999996E-3</v>
    <v>-6.1684999999999997E-2</v>
    <v>0.185</v>
    <v>USD</v>
    <v>Beam Therapeutics Inc. is a biotechnology company developing precision genetic medicines through base editing. The Company's suite of gene editing technologies is anchored by base editing, a technology that is designed to enable precise, predictable and efficient single base changes, at targeted genomic sequences, without making double-stranded breaks in the deoxyribonucleic acid. Its lead programs are focused on sickle cell disease and alpha-1 antitrypsin deficiency, and it is also advancing programs in other genetic diseases. Its primary programs include BEAM-101, Engineered Stem Cell Antibody Paired Evasion (ESCAPE), BEAM-302 and BEAM-301. BEAM-101 is a patient-specific, autologous hematopoietic stem cell (HSC), investigational therapy. ESCAPE is a potentially non-genotoxic approach to HSC transplantation. BEAM-302 is a liver-targeting lipid nanoparticle formulation of base editing reagents designed to offer a one-time treatment to correct the E342K point mutation (PiZZ genotype).</v>
    <v>511</v>
    <v>Nasdaq Stock Market</v>
    <v>XNAS</v>
    <v>XNAS</v>
    <v>238 Main Street, CAMBRIDGE, MA, 02142 US</v>
    <v>26.7</v>
    <v>Biotechnology &amp; Medical Research</v>
    <v>Stock</v>
    <v>46274.998908703128</v>
    <v>40</v>
    <v>25.11</v>
    <v>2600267847</v>
    <v>BEAM THERAPEUTICS INC.</v>
    <v>BEAM THERAPEUTICS INC.</v>
    <v>26.7</v>
    <v>0</v>
    <v>26.83</v>
    <v>25.175000000000001</v>
    <v>25.36</v>
    <v>103287700</v>
    <v>BEAM</v>
    <v>BEAM THERAPEUTICS INC. (XNAS:BEAM)</v>
    <v>2846816</v>
    <v>1771583</v>
    <v>2017</v>
  </rv>
  <rv s="4">
    <v>41</v>
  </rv>
  <rv s="0">
    <v>https://www.bing.com/financeapi/forcetrigger?t=a1slm7&amp;q=XNAS%3aMETA&amp;form=skydnc</v>
    <v>Learn more on Bing</v>
  </rv>
  <rv s="5">
    <v>en-US</v>
    <v>a1slm7</v>
    <v>268435456</v>
    <v>1</v>
    <v>Powered by Refinitiv</v>
    <v>7</v>
    <v>META PLATFORMS, INC. (XNAS:META)</v>
    <v>8</v>
    <v>9</v>
    <v>Finance</v>
    <v>5</v>
    <v>790.8</v>
    <v>520.26</v>
    <v>1.2117</v>
    <v>40.21</v>
    <v>-5.6200000000000009E-3</v>
    <v>6.5544000000000005E-2</v>
    <v>-3.6738</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75472</v>
    <v>Nasdaq Stock Market</v>
    <v>XNAS</v>
    <v>XNAS</v>
    <v>1 Meta Way, MENLO PARK, CA, 94025 US</v>
    <v>657.86</v>
    <v>Software &amp; IT Services</v>
    <v>Stock</v>
    <v>46274.999999745312</v>
    <v>43</v>
    <v>638.55999999999995</v>
    <v>1665279197140</v>
    <v>META PLATFORMS, INC.</v>
    <v>META PLATFORMS, INC.</v>
    <v>648.64</v>
    <v>22.635999999999999</v>
    <v>613.48</v>
    <v>653.69000000000005</v>
    <v>650.01620000000003</v>
    <v>2547506000</v>
    <v>META</v>
    <v>META PLATFORMS, INC. (XNAS:META)</v>
    <v>35900728</v>
    <v>15797598</v>
    <v>2004</v>
  </rv>
  <rv s="4">
    <v>44</v>
  </rv>
  <rv s="0">
    <v>https://www.bing.com/financeapi/forcetrigger?t=a1ygoc&amp;q=XNAS%3aNFLX&amp;form=skydnc</v>
    <v>Learn more on Bing</v>
  </rv>
  <rv s="5">
    <v>en-US</v>
    <v>a1ygoc</v>
    <v>268435456</v>
    <v>1</v>
    <v>Powered by Refinitiv</v>
    <v>7</v>
    <v>NETFLIX, INC. (XNAS:NFLX)</v>
    <v>8</v>
    <v>9</v>
    <v>Finance</v>
    <v>5</v>
    <v>126.7</v>
    <v>65.08</v>
    <v>1.6011</v>
    <v>-0.74</v>
    <v>8.943799999999999E-2</v>
    <v>-9.639E-3</v>
    <v>6.8</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16000</v>
    <v>Nasdaq Stock Market</v>
    <v>XNAS</v>
    <v>XNAS</v>
    <v>121 Albright Way, LOS GATOS, CA, 95032 US</v>
    <v>76.72</v>
    <v>Software &amp; IT Services</v>
    <v>Stock</v>
    <v>46274.999874328125</v>
    <v>46</v>
    <v>75.87</v>
    <v>316584282170</v>
    <v>NETFLIX, INC.</v>
    <v>NETFLIX, INC.</v>
    <v>76.34</v>
    <v>23.952200000000001</v>
    <v>76.77</v>
    <v>76.03</v>
    <v>82.83</v>
    <v>4163939000</v>
    <v>NFLX</v>
    <v>NETFLIX, INC. (XNAS:NFLX)</v>
    <v>22779615</v>
    <v>28813174</v>
    <v>1997</v>
  </rv>
  <rv s="4">
    <v>47</v>
  </rv>
  <rv s="0">
    <v>https://www.bing.com/financeapi/forcetrigger?t=bpoxsm&amp;q=XNAS%3aTMDX&amp;form=skydnc</v>
    <v>Learn more on Bing</v>
  </rv>
  <rv s="5">
    <v>en-US</v>
    <v>bpoxsm</v>
    <v>268435456</v>
    <v>1</v>
    <v>Powered by Refinitiv</v>
    <v>7</v>
    <v>TRANSMEDICS GROUP, INC. (XNAS:TMDX)</v>
    <v>8</v>
    <v>9</v>
    <v>Finance</v>
    <v>5</v>
    <v>156</v>
    <v>60.104999999999997</v>
    <v>1.9201999999999999</v>
    <v>-1.87</v>
    <v>0</v>
    <v>-2.1184999999999999E-2</v>
    <v>0</v>
    <v>USD</v>
    <v>TransMedics Group, Inc. is a medical technology company that is transforming organ transplant therapy for patients with end-stage lung, heart and liver failure. The Company specializes in portable extracorporeal warm perfusion and assessment of donor organs for transplantation. Its Organ Care System (OCS) is a portable organ perfusion, optimization and monitoring system that utilizes its customized technology to replicate near-physiologic conditions for donor organs outside the human body. It also developed its National OCS Program (NOP), which is a turnkey solution to provide outsourced organ procurement, OCS perfusion management and transplant logistics services, to provide transplant programs in the United States. Its logistics services include aviation transportation and other coordination activities. Its NOP provides trained organ procurement surgeons, clinical specialists and transplant coordinators that provide an end-to-end clinical solution using its OCS technology.</v>
    <v>898</v>
    <v>Nasdaq Stock Market</v>
    <v>XNAS</v>
    <v>XNAS</v>
    <v>200 Minuteman Road, ANDOVER, MA, 01810 US</v>
    <v>87.71</v>
    <v>Healthcare Equipment &amp; Supplies</v>
    <v>Stock</v>
    <v>46274.979816585153</v>
    <v>49</v>
    <v>84.87</v>
    <v>2995932960</v>
    <v>TRANSMEDICS GROUP, INC.</v>
    <v>TRANSMEDICS GROUP, INC.</v>
    <v>87.47</v>
    <v>22.665900000000001</v>
    <v>88.27</v>
    <v>86.4</v>
    <v>86.4</v>
    <v>34675150</v>
    <v>TMDX</v>
    <v>TRANSMEDICS GROUP, INC. (XNAS:TMDX)</v>
    <v>665155</v>
    <v>831790</v>
    <v>2018</v>
  </rv>
  <rv s="4">
    <v>50</v>
  </rv>
  <rv s="0">
    <v>https://www.bing.com/financeapi/forcetrigger?t=a1mou2&amp;q=XNAS%3aAAPL&amp;form=skydnc</v>
    <v>Learn more on Bing</v>
  </rv>
  <rv s="5">
    <v>en-US</v>
    <v>a1mou2</v>
    <v>268435456</v>
    <v>1</v>
    <v>Powered by Refinitiv</v>
    <v>7</v>
    <v>APPLE INC. (XNAS:AAPL)</v>
    <v>8</v>
    <v>9</v>
    <v>Finance</v>
    <v>5</v>
    <v>344.56990000000002</v>
    <v>225.95</v>
    <v>1.0760000000000001</v>
    <v>-0.88</v>
    <v>8.4349999999999998E-3</v>
    <v>-2.7829999999999999E-3</v>
    <v>2.66</v>
    <v>USD</v>
    <v>Apple Inc. designs, manufactures and markets smartphones, personal computers, tablets, wearables and accessories, and sells a variety of related services. Its product categories include iPhone, Mac, iPad, Wearables, Home and Accessories.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wearables include smartwatches, wireless headphones, and spatial computers.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319.14999999999998</v>
    <v>Computers, Phones &amp; Household Electronics</v>
    <v>Stock</v>
    <v>46274.999999536718</v>
    <v>52</v>
    <v>309.89999999999998</v>
    <v>4602128721200</v>
    <v>APPLE INC.</v>
    <v>APPLE INC.</v>
    <v>315.48500000000001</v>
    <v>36.285299999999999</v>
    <v>316.22000000000003</v>
    <v>315.33999999999997</v>
    <v>318</v>
    <v>14594180000</v>
    <v>AAPL</v>
    <v>APPLE INC. (XNAS:AAPL)</v>
    <v>65639962</v>
    <v>41064430</v>
    <v>1977</v>
  </rv>
  <rv s="4">
    <v>53</v>
  </rv>
  <rv s="0">
    <v>https://www.bing.com/financeapi/forcetrigger?t=a24xlh&amp;q=XNYS%3aUNH&amp;form=skydnc</v>
    <v>Learn more on Bing</v>
  </rv>
  <rv s="5">
    <v>en-US</v>
    <v>a24xlh</v>
    <v>268435456</v>
    <v>1</v>
    <v>Powered by Refinitiv</v>
    <v>7</v>
    <v>UNITEDHEALTH GROUP INCORPORATED (XNYS:UNH)</v>
    <v>8</v>
    <v>9</v>
    <v>Finance</v>
    <v>5</v>
    <v>461.62</v>
    <v>255.965</v>
    <v>0.60470000000000002</v>
    <v>-7.78</v>
    <v>1.119E-3</v>
    <v>-1.9408999999999999E-2</v>
    <v>0.44</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provides comprehensive and patient-centered care, addressing the physical, mental, and social well-being. Optum Health delivers primary, specialty and surgical care and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406.53</v>
    <v>Healthcare Providers &amp; Services</v>
    <v>Stock</v>
    <v>46274.99991938594</v>
    <v>55</v>
    <v>378.08010000000002</v>
    <v>352808612088</v>
    <v>UNITEDHEALTH GROUP INCORPORATED</v>
    <v>UNITEDHEALTH GROUP INCORPORATED</v>
    <v>405.17</v>
    <v>25.275600000000001</v>
    <v>400.84</v>
    <v>393.06</v>
    <v>393.5</v>
    <v>897594800</v>
    <v>UNH</v>
    <v>UNITEDHEALTH GROUP INCORPORATED (XNYS:UNH)</v>
    <v>7737638</v>
    <v>4337678</v>
    <v>2015</v>
  </rv>
  <rv s="4">
    <v>56</v>
  </rv>
  <rv s="0">
    <v>https://www.bing.com/financeapi/forcetrigger?t=c438im&amp;q=XNAS%3aIREN&amp;form=skydnc</v>
    <v>Learn more on Bing</v>
  </rv>
  <rv s="5">
    <v>en-US</v>
    <v>c438im</v>
    <v>268435456</v>
    <v>1</v>
    <v>Powered by Refinitiv</v>
    <v>7</v>
    <v>IREN LIMITED (XNAS:IREN)</v>
    <v>8</v>
    <v>9</v>
    <v>Finance</v>
    <v>5</v>
    <v>76.87</v>
    <v>27.05</v>
    <v>4.2575000000000003</v>
    <v>-1.56</v>
    <v>-3.3059999999999999E-3</v>
    <v>-3.3241E-2</v>
    <v>-0.15</v>
    <v>USD</v>
    <v>IREN Limited is an Australia-based company, which owns and operates data centers powered by 100% renewable energy. The Company is vertically integrated artificial intelligence (AI) Cloud provider, delivering large-scale data centers and graphics processing unit (GPU) clusters for AI training and inference. Its platform is underpinned by its portfolio of grid-connected land and power in regions across North America, Europe and Asia-Pacific (APAC). Its data centers are optimized for power-dense computing applications and support a combination of GPUs for High-Performance Computing (HPC) and AI services and ASICs for Bitcoin mining. Its data center mining facilities are in Sweetwater, Canal Flats, Mackenzie, Prince George, and Childress. Al Cloud Services provides cloud compute to Al customers, approximately 1,896 NVIDIA H100 and H200 GPUs. Its Canal Flats facility is located on a 10-acre freehold site, directly connected to the BC Hydro power grid through a 30 megawatt (MW).</v>
    <v>685</v>
    <v>Nasdaq Stock Market</v>
    <v>XNAS</v>
    <v>XNAS</v>
    <v>Level 5, 55 Market Street, SYDNEY, NEW SOUTH WALES, 2000 AU</v>
    <v>47.3</v>
    <v>Financial Technology (Fintech) &amp; Infrastructure</v>
    <v>Stock</v>
    <v>46274.99998836797</v>
    <v>58</v>
    <v>45.09</v>
    <v>17878443219</v>
    <v>IREN LIMITED</v>
    <v>IREN LIMITED</v>
    <v>46.86</v>
    <v>0</v>
    <v>46.93</v>
    <v>45.37</v>
    <v>45.22</v>
    <v>394058700</v>
    <v>IREN</v>
    <v>IREN LIMITED (XNAS:IREN)</v>
    <v>29847351</v>
    <v>44299597</v>
    <v>2018</v>
  </rv>
  <rv s="4">
    <v>59</v>
  </rv>
  <rv s="0">
    <v>https://www.bing.com/financeapi/forcetrigger?t=bq8rqh&amp;q=XNAS%3aCRWD&amp;form=skydnc</v>
    <v>Learn more on Bing</v>
  </rv>
  <rv s="5">
    <v>en-US</v>
    <v>bq8rqh</v>
    <v>268435456</v>
    <v>1</v>
    <v>Powered by Refinitiv</v>
    <v>7</v>
    <v>CROWDSTRIKE HOLDINGS, INC. (XNAS:CRWD)</v>
    <v>8</v>
    <v>9</v>
    <v>Finance</v>
    <v>5</v>
    <v>233.88</v>
    <v>85.68</v>
    <v>1.2246999999999999</v>
    <v>-2.2200000000000002</v>
    <v>7.0209999999999999E-4</v>
    <v>-1.057E-2</v>
    <v>0.1459</v>
    <v>USD</v>
    <v>CrowdStrike Holdings, Inc. is a global cybersecurity company. The Company provides a cloud-native platform for protecting critical areas of enterprise risk - endpoints and cloud workloads, identity, and data. The Company's artificial intelligence (AI)-native CrowdStrike Falcon platform is a cloud-native unified platform built with AI at the core, capable of harnessing security and enterprise data to deliver highly modular solutions through a single lightweight sensor. Using cloud-scale AI, its Security Cloud enriches and correlates cybersecurity events with indicators of attack, threat intelligence, and enterprise data (including data from across endpoints, workloads, identities, DevOps, IT assets, and configurations) to create actionable data, identify shifts in adversary tactics, and automatically prevent threats in real-time across its customer base. It sells its Falcon platform via a partner-first subscription model to organizations of all sizes across multiple industries globally.</v>
    <v>11706</v>
    <v>Nasdaq Stock Market</v>
    <v>XNAS</v>
    <v>XNAS</v>
    <v>206 E. 9TH STREET, SUITE 1400, AUSTIN, TX, 78701 US</v>
    <v>212.77</v>
    <v>Software &amp; IT Services</v>
    <v>Stock</v>
    <v>46274.999756758596</v>
    <v>61</v>
    <v>207</v>
    <v>212773693000</v>
    <v>CROWDSTRIKE HOLDINGS, INC.</v>
    <v>CROWDSTRIKE HOLDINGS, INC.</v>
    <v>210.48</v>
    <v>3648.4940000000001</v>
    <v>210.02</v>
    <v>207.8</v>
    <v>207.94589999999999</v>
    <v>1023935000</v>
    <v>CRWD</v>
    <v>CROWDSTRIKE HOLDINGS, INC. (XNAS:CRWD)</v>
    <v>5877206</v>
    <v>9740446</v>
    <v>2011</v>
  </rv>
  <rv s="4">
    <v>62</v>
  </rv>
  <rv s="0">
    <v>https://www.bing.com/financeapi/forcetrigger?t=bvsk7w&amp;q=XNYS%3aPLTR&amp;form=skydnc</v>
    <v>Learn more on Bing</v>
  </rv>
  <rv s="5">
    <v>en-US</v>
    <v>bvsk7w</v>
    <v>268435456</v>
    <v>1</v>
    <v>Powered by Refinitiv</v>
    <v>7</v>
    <v>PALANTIR TECHNOLOGIES INC. (XNAS:PLTR)</v>
    <v>8</v>
    <v>9</v>
    <v>Finance</v>
    <v>5</v>
    <v>207.52</v>
    <v>106.37</v>
    <v>1.6107</v>
    <v>-0.77</v>
    <v>4.1290000000000001E-4</v>
    <v>-4.5209999999999998E-3</v>
    <v>7.0000000000000007E-2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4401</v>
    <v>Nasdaq Stock Market</v>
    <v>XNAS</v>
    <v>XNAS</v>
    <v>1200 17Th Street, Floor 15, DENVER, CO, 80202 US</v>
    <v>171.85990000000001</v>
    <v>Software &amp; IT Services</v>
    <v>Stock</v>
    <v>46274.999986469535</v>
    <v>64</v>
    <v>168.61</v>
    <v>407390592270</v>
    <v>PALANTIR TECHNOLOGIES INC.</v>
    <v>PALANTIR TECHNOLOGIES INC.</v>
    <v>171.47</v>
    <v>144.46770000000001</v>
    <v>170.3</v>
    <v>169.53</v>
    <v>169.6</v>
    <v>2403059000</v>
    <v>PLTR</v>
    <v>PALANTIR TECHNOLOGIES INC. (XNAS:PLTR)</v>
    <v>20356816</v>
    <v>41823113</v>
    <v>2003</v>
  </rv>
  <rv s="4">
    <v>65</v>
  </rv>
  <rv s="0">
    <v>https://www.bing.com/financeapi/forcetrigger?t=c62ogh&amp;q=XNAS%3aSOUN&amp;form=skydnc</v>
    <v>Learn more on Bing</v>
  </rv>
  <rv s="5">
    <v>en-US</v>
    <v>c62ogh</v>
    <v>268435456</v>
    <v>1</v>
    <v>Powered by Refinitiv</v>
    <v>7</v>
    <v>SOUNDHOUND AI, INC. (XNAS:SOUN)</v>
    <v>8</v>
    <v>9</v>
    <v>Finance</v>
    <v>5</v>
    <v>22.17</v>
    <v>5.6501000000000001</v>
    <v>2.8487</v>
    <v>-0.09</v>
    <v>-4.6299999999999994E-5</v>
    <v>-1.3698999999999999E-2</v>
    <v>-2.9999999999999997E-4</v>
    <v>USD</v>
    <v>SoundHound AI, Inc. is a voice and agentic artificial intelligence (AI) company that enables businesses to deliver natural, end-to-end conversational experiences across digital and physical channels, including phones, kiosks, chat, smart devices, drive-thrus, televisions (TVs), in-vehicle, and others. Through its proprietary technology, its voice AI delivers speed and accuracy in numerous languages to product creators and service providers across automotive, TV, and internet of things (IoT), and to customer service industries via groundbreaking AI-driven products like Smart Answering, Smart Ordering, and Dynamic Interaction. Along with SoundHound Chat AI, a voice assistant with integrated Generative AI. Its agentic platform, OASYS, is a self-learning, orchestrated AI system where organizations can build and deploy conversational AI agents to handle transactions, tasks, and workflows on behalf of customers and employees.</v>
    <v>954</v>
    <v>Nasdaq Stock Market</v>
    <v>XNAS</v>
    <v>XNAS</v>
    <v>5400 Betsy Ross Drive, SANTA CLARA, CA, 95054 US</v>
    <v>6.61</v>
    <v>Software &amp; IT Services</v>
    <v>Stock</v>
    <v>46274.999931585153</v>
    <v>67</v>
    <v>6.44</v>
    <v>3154283856</v>
    <v>SOUNDHOUND AI, INC.</v>
    <v>SOUNDHOUND AI, INC.</v>
    <v>6.59</v>
    <v>0</v>
    <v>6.57</v>
    <v>6.48</v>
    <v>6.4797000000000002</v>
    <v>486772200</v>
    <v>SOUN</v>
    <v>SOUNDHOUND AI, INC. (XNAS:SOUN)</v>
    <v>25085934</v>
    <v>29742307</v>
    <v>2020</v>
  </rv>
  <rv s="4">
    <v>68</v>
  </rv>
  <rv s="0">
    <v>https://www.bing.com/financeapi/forcetrigger?t=a1ndww&amp;q=XNAS%3aAMD&amp;form=skydnc</v>
    <v>Learn more on Bing</v>
  </rv>
  <rv s="5">
    <v>en-US</v>
    <v>a1ndww</v>
    <v>268435456</v>
    <v>1</v>
    <v>Powered by Refinitiv</v>
    <v>7</v>
    <v>ADVANCED MICRO DEVICES, INC. (XNAS:AMD)</v>
    <v>8</v>
    <v>9</v>
    <v>Finance</v>
    <v>5</v>
    <v>584.73</v>
    <v>149.85</v>
    <v>2.4845999999999999</v>
    <v>15.355</v>
    <v>-1.0499999999999999E-3</v>
    <v>3.0360999999999999E-2</v>
    <v>-0.54700000000000004</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526.79</v>
    <v>Semiconductors &amp; Semiconductor Equipment</v>
    <v>Stock</v>
    <v>46274.999970185156</v>
    <v>70</v>
    <v>506.36</v>
    <v>850674560125</v>
    <v>ADVANCED MICRO DEVICES, INC.</v>
    <v>ADVANCED MICRO DEVICES, INC.</v>
    <v>507.5</v>
    <v>132.99619999999999</v>
    <v>505.74</v>
    <v>521.09500000000003</v>
    <v>520.548</v>
    <v>1632475000</v>
    <v>AMD</v>
    <v>ADVANCED MICRO DEVICES, INC. (XNAS:AMD)</v>
    <v>22152382</v>
    <v>21106074</v>
    <v>1969</v>
  </rv>
  <rv s="4">
    <v>71</v>
  </rv>
  <rv s="0">
    <v>https://www.bing.com/financeapi/forcetrigger?t=bwtkp2&amp;q=XNAS%3aRKLB&amp;form=skydnc</v>
    <v>Learn more on Bing</v>
  </rv>
  <rv s="5">
    <v>en-US</v>
    <v>bwtkp2</v>
    <v>268435456</v>
    <v>1</v>
    <v>Powered by Refinitiv</v>
    <v>7</v>
    <v>ROCKET LAB CORPORATION (XNAS:RKLB)</v>
    <v>8</v>
    <v>9</v>
    <v>Finance</v>
    <v>5</v>
    <v>150.9999</v>
    <v>37.57</v>
    <v>2.9464999999999999</v>
    <v>-2.8</v>
    <v>3.9639999999999996E-3</v>
    <v>-4.2507999999999997E-2</v>
    <v>0.25</v>
    <v>USD</v>
    <v>Rocket Lab Corporation is an end-to-end space company. The Company designs and manufactures small and medium-class rockets, spacecraft and spacecraft components, and related software and services to support the space economy. The Company delivers reliable launch services, satellite manufacture, spacecraft design services, spacecraft components, spacecraft manufacturing, and other spacecraft and on-orbit management solutions that make it easier to access space. Its Launch Services segment provides launch and launch-related services to customers on a dedicated mission or ride-share basis. Its Space Systems segment comprises the design and manufacture of spacecraft components and spacecraft program management services, space data applications, and mission operations. Its space systems solutions are the building blocks for spacecraft, which include composite structures, reaction wheels, star trackers, solar solutions, radios, separation systems, and command and control spacecraft software.</v>
    <v>2600</v>
    <v>Nasdaq Stock Market</v>
    <v>XNAS</v>
    <v>XNAS</v>
    <v>3881 Mcgowen Street, LONG BEACH, CA, 90808 US</v>
    <v>67.7</v>
    <v>Aerospace &amp; Defense</v>
    <v>Stock</v>
    <v>46274.999968911718</v>
    <v>73</v>
    <v>62.99</v>
    <v>37744853279</v>
    <v>ROCKET LAB CORPORATION</v>
    <v>ROCKET LAB CORPORATION</v>
    <v>67.319999999999993</v>
    <v>0</v>
    <v>65.87</v>
    <v>63.07</v>
    <v>63.32</v>
    <v>598459700</v>
    <v>RKLB</v>
    <v>ROCKET LAB CORPORATION (XNAS:RKLB)</v>
    <v>26478752</v>
    <v>17868865</v>
    <v>2025</v>
  </rv>
  <rv s="4">
    <v>74</v>
  </rv>
  <rv s="8">
    <v>en-US</v>
    <v>bo8l6h</v>
    <v>268435456</v>
    <v>1</v>
    <v>Powered by Refinitiv</v>
    <v>17</v>
    <v>BTC/USD</v>
    <v>18</v>
    <v>19</v>
    <v>Finance</v>
    <v>20</v>
    <v>126223.18</v>
    <v>57775.79</v>
    <v>-209.45</v>
    <v>-2.6740000000000002E-3</v>
    <v>USD</v>
    <v>BTC</v>
    <v>78536.179999999993</v>
    <v>Currency Pair</v>
    <v>46275.33053240741</v>
    <v>77793.279999999999</v>
    <v>Bitcoin/US Dollar FX Spot Rate</v>
    <v>78313.820000000007</v>
    <v>78323.539999999994</v>
    <v>78114.09</v>
    <v>BTCUSD</v>
    <v>BTC/USD</v>
  </rv>
  <rv s="4">
    <v>76</v>
  </rv>
  <rv s="8">
    <v>en-US</v>
    <v>brjcfr</v>
    <v>268435456</v>
    <v>1</v>
    <v>Powered by Refinitiv</v>
    <v>17</v>
    <v>ETH/USD</v>
    <v>18</v>
    <v>19</v>
    <v>Finance</v>
    <v>20</v>
    <v>4764.1899999999996</v>
    <v>1506.93</v>
    <v>0.87</v>
    <v>3.5200000000000005E-4</v>
    <v>USD</v>
    <v>ETH</v>
    <v>2484.16</v>
    <v>Currency Pair</v>
    <v>46275.330636574072</v>
    <v>2444.56</v>
    <v>Ether/US Dollar FX Spot Rate</v>
    <v>2471.65</v>
    <v>2471.71</v>
    <v>2472.58</v>
    <v>ETHUSD</v>
    <v>ETH/USD</v>
  </rv>
  <rv s="4">
    <v>78</v>
  </rv>
  <rv s="8">
    <v>en-US</v>
    <v>avyo8m</v>
    <v>268435456</v>
    <v>1</v>
    <v>Powered by Refinitiv</v>
    <v>17</v>
    <v>USD/INR</v>
    <v>18</v>
    <v>21</v>
    <v>Finance</v>
    <v>20</v>
    <v>96.96</v>
    <v>87.597999999999999</v>
    <v>0.24</v>
    <v>2.5240000000000002E-3</v>
    <v>INR</v>
    <v>USD</v>
    <v>95.37</v>
    <v>Currency Pair</v>
    <v>46275.330416666664</v>
    <v>95.12</v>
    <v>US Dollar/Indian Rupee FX Spot Rate</v>
    <v>95.1</v>
    <v>95.1</v>
    <v>95.34</v>
    <v>USDINR</v>
    <v>USD/INR</v>
  </rv>
  <rv s="4">
    <v>80</v>
  </rv>
</rvData>
</file>

<file path=xl/richData/rdrichvaluestructure.xml><?xml version="1.0" encoding="utf-8"?>
<rvStructures xmlns="http://schemas.microsoft.com/office/spreadsheetml/2017/richdata" count="9">
  <s t="_hyperlink">
    <k n="Address" t="s"/>
    <k n="Text"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5">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spbArrays>
  <spbData count="22">
    <spb s="0">
      <v>0</v>
      <v>Name</v>
      <v>LearnMoreOnLink</v>
    </spb>
    <spb s="1">
      <v>0</v>
      <v>0</v>
    </spb>
    <spb s="2">
      <v>0</v>
      <v>0</v>
      <v>0</v>
    </spb>
    <spb s="3">
      <v>1</v>
      <v>2</v>
      <v>2</v>
      <v>2</v>
      <v>2</v>
    </spb>
    <spb s="4">
      <v>1</v>
      <v>2</v>
      <v>2</v>
      <v>1</v>
      <v>3</v>
      <v>1</v>
      <v>4</v>
      <v>1</v>
      <v>1</v>
      <v>5</v>
      <v>5</v>
      <v>6</v>
      <v>7</v>
      <v>1</v>
      <v>1</v>
      <v>1</v>
      <v>5</v>
      <v>8</v>
      <v>9</v>
      <v>10</v>
      <v>5</v>
      <v>1</v>
      <v>1</v>
      <v>6</v>
    </spb>
    <spb s="5">
      <v>at close</v>
      <v>from previous close</v>
      <v>from previous close</v>
      <v>Source: Nasdaq</v>
      <v>GMT</v>
      <v>Delayed 15 minutes</v>
      <v>from close</v>
      <v>from close</v>
    </spb>
    <spb s="6">
      <v>Powered by Refinitiv</v>
    </spb>
    <spb s="0">
      <v>1</v>
      <v>Name</v>
      <v>LearnMoreOnLink</v>
    </spb>
    <spb s="7">
      <v>2</v>
      <v>2</v>
      <v>2</v>
      <v>2</v>
    </spb>
    <spb s="8">
      <v>1</v>
      <v>2</v>
      <v>2</v>
      <v>1</v>
      <v>3</v>
      <v>1</v>
      <v>1</v>
      <v>1</v>
      <v>5</v>
      <v>5</v>
      <v>6</v>
      <v>7</v>
      <v>1</v>
      <v>1</v>
      <v>1</v>
      <v>5</v>
      <v>8</v>
      <v>9</v>
      <v>10</v>
      <v>5</v>
      <v>1</v>
      <v>1</v>
      <v>6</v>
    </spb>
    <spb s="0">
      <v>2</v>
      <v>Name</v>
      <v>LearnMoreOnLink</v>
    </spb>
    <spb s="9">
      <v>2</v>
      <v>2</v>
      <v>2</v>
    </spb>
    <spb s="10">
      <v>1</v>
      <v>2</v>
      <v>1</v>
      <v>3</v>
      <v>1</v>
      <v>1</v>
      <v>1</v>
      <v>5</v>
      <v>6</v>
      <v>7</v>
      <v>1</v>
      <v>1</v>
      <v>6</v>
      <v>1</v>
      <v>5</v>
      <v>8</v>
      <v>10</v>
    </spb>
    <spb s="11">
      <v>Delayed 15 minutes</v>
      <v>from previous close</v>
      <v>Source: Nasdaq</v>
      <v>from previous close</v>
      <v>GMT</v>
    </spb>
    <spb s="0">
      <v>3</v>
      <v>Name</v>
      <v>LearnMoreOnLink</v>
    </spb>
    <spb s="12">
      <v>1</v>
      <v>2</v>
      <v>1</v>
      <v>3</v>
      <v>1</v>
      <v>1</v>
      <v>1</v>
      <v>5</v>
      <v>6</v>
      <v>7</v>
      <v>1</v>
      <v>1</v>
      <v>6</v>
      <v>1</v>
      <v>5</v>
      <v>8</v>
      <v>10</v>
      <v>1</v>
      <v>1</v>
      <v>6</v>
    </spb>
    <spb s="13">
      <v>at close</v>
      <v>from previous close</v>
      <v>Source: Nasdaq</v>
      <v>from previous close</v>
      <v>GMT</v>
      <v>Delayed 15 minutes</v>
      <v>from close</v>
      <v>from close</v>
    </spb>
    <spb s="14">
      <v>4</v>
      <v>Name</v>
    </spb>
    <spb s="15">
      <v>2</v>
      <v>2</v>
    </spb>
    <spb s="16">
      <v>1</v>
      <v>1</v>
      <v>3</v>
      <v>1</v>
      <v>1</v>
      <v>1</v>
      <v>6</v>
      <v>1</v>
      <v>1</v>
      <v>1</v>
      <v>8</v>
      <v>10</v>
    </spb>
    <spb s="17">
      <v>GMT</v>
    </spb>
    <spb s="16">
      <v>11</v>
      <v>11</v>
      <v>3</v>
      <v>11</v>
      <v>11</v>
      <v>11</v>
      <v>6</v>
      <v>11</v>
      <v>11</v>
      <v>11</v>
      <v>8</v>
      <v>10</v>
    </spb>
  </spbData>
</supportingPropertyBags>
</file>

<file path=xl/richData/rdsupportingpropertybagstructure.xml><?xml version="1.0" encoding="utf-8"?>
<spbStructures xmlns="http://schemas.microsoft.com/office/spreadsheetml/2017/richdata2" count="18">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Sty dxfid="1">
      <rpv i="0" xml:space="preserve">_ [$₹-as-IN] * #,##0.00_ ;_ [$₹-as-IN] * -#,##0.00_ ;_ [$₹-as-IN] * "-"??_ ;_ @_ </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92E0FA-195D-4DCE-9906-FAF8C265565F}" name="Table2" displayName="Table2" ref="A93:B99" totalsRowShown="0" headerRowDxfId="22" dataDxfId="20" headerRowBorderDxfId="21" tableBorderDxfId="19" totalsRowBorderDxfId="18">
  <autoFilter ref="A93:B99" xr:uid="{8792E0FA-195D-4DCE-9906-FAF8C265565F}">
    <filterColumn colId="0" hiddenButton="1"/>
    <filterColumn colId="1" hiddenButton="1"/>
  </autoFilter>
  <tableColumns count="2">
    <tableColumn id="1" xr3:uid="{E841929C-3603-41D3-BB95-78CB70529BE1}" name="Instrument Type" dataDxfId="17"/>
    <tableColumn id="2" xr3:uid="{E11D5382-7CE4-44A6-B845-A6B0441313FF}" name="Distribution" dataDxfId="16">
      <calculatedColumnFormula>SUM(F8)/F59</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7354FC-BF2F-4899-B3DC-0B7D5B96A5BF}" name="Table5" displayName="Table5" ref="A1:E9" totalsRowShown="0" headerRowDxfId="15" headerRowBorderDxfId="14">
  <autoFilter ref="A1:E9" xr:uid="{FA7354FC-BF2F-4899-B3DC-0B7D5B96A5BF}"/>
  <tableColumns count="5">
    <tableColumn id="1" xr3:uid="{36EB209A-5ED3-4464-B1DF-AC31841DAEAD}" name="Expense Name" dataDxfId="13"/>
    <tableColumn id="2" xr3:uid="{0EDEF07E-A117-4746-ABAA-C2C77AF7140C}" name="Amount" dataDxfId="12"/>
    <tableColumn id="5" xr3:uid="{ADB7D8E4-4392-48F7-B525-5CF133D45A04}" name="Location" dataDxfId="11"/>
    <tableColumn id="6" xr3:uid="{859A7C0D-63F8-40BC-807A-8C657CB9D5C3}" name="RD Amount Deducted per month" dataDxfId="10"/>
    <tableColumn id="7" xr3:uid="{7FBC5CC5-6580-4B0B-BDA5-5915A4281798}" name="Need/Due By Date" dataDxfId="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69766E-43F2-4452-A580-1731F8FEBA52}" name="Table3" displayName="Table3" ref="A28:D30" totalsRowShown="0" headerRowBorderDxfId="8" tableBorderDxfId="7">
  <autoFilter ref="A28:D30" xr:uid="{0069766E-43F2-4452-A580-1731F8FEBA52}">
    <filterColumn colId="0" hiddenButton="1"/>
    <filterColumn colId="1" hiddenButton="1"/>
    <filterColumn colId="2" hiddenButton="1"/>
    <filterColumn colId="3" hiddenButton="1"/>
  </autoFilter>
  <tableColumns count="4">
    <tableColumn id="1" xr3:uid="{78CBB550-7A00-42BD-8D58-77B990375212}" name="Type of Action" dataDxfId="6"/>
    <tableColumn id="2" xr3:uid="{BB3543DF-F649-4412-88B4-4695833BB3D2}" name="Amount" dataDxfId="5"/>
    <tableColumn id="4" xr3:uid="{90C6E5D1-C148-4A3D-8882-706ED2E81839}" name="Notes" dataDxfId="4"/>
    <tableColumn id="3" xr3:uid="{C0FF43C3-E181-4A10-A048-8D81F0147B7B}" name="% of salary / Bank" dataDxfId="0">
      <calculatedColumnFormula>Table3[[#This Row],[Amount]]/B28</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30F8-7398-4EE2-986E-F4FB734EB2C1}">
  <dimension ref="A1:O102"/>
  <sheetViews>
    <sheetView tabSelected="1" workbookViewId="0">
      <pane xSplit="1" topLeftCell="B1" activePane="topRight" state="frozen"/>
      <selection activeCell="A17" sqref="A17"/>
      <selection pane="topRight" activeCell="H24" sqref="H24"/>
    </sheetView>
  </sheetViews>
  <sheetFormatPr defaultRowHeight="15"/>
  <cols>
    <col min="1" max="1" width="43.5703125" customWidth="1"/>
    <col min="2" max="2" width="14.42578125" style="9" bestFit="1" customWidth="1"/>
    <col min="3" max="3" width="14.85546875" style="9" bestFit="1" customWidth="1"/>
    <col min="4" max="4" width="14.28515625" style="9" bestFit="1" customWidth="1"/>
    <col min="5" max="5" width="14.7109375" customWidth="1"/>
    <col min="6" max="6" width="16.140625" bestFit="1" customWidth="1"/>
    <col min="7" max="7" width="16" style="9" bestFit="1" customWidth="1"/>
    <col min="8" max="8" width="14.28515625" bestFit="1" customWidth="1"/>
    <col min="9" max="9" width="17" bestFit="1" customWidth="1"/>
    <col min="10" max="11" width="14.28515625" bestFit="1" customWidth="1"/>
    <col min="15" max="15" width="14.7109375" bestFit="1" customWidth="1"/>
  </cols>
  <sheetData>
    <row r="1" spans="1:9" ht="47.25">
      <c r="A1" s="75" t="s">
        <v>0</v>
      </c>
      <c r="B1" s="76" t="s">
        <v>1</v>
      </c>
      <c r="C1" s="76" t="s">
        <v>2</v>
      </c>
      <c r="D1" s="76" t="s">
        <v>3</v>
      </c>
      <c r="E1" s="76" t="s">
        <v>4</v>
      </c>
      <c r="F1" s="76" t="s">
        <v>5</v>
      </c>
      <c r="G1" s="77" t="s">
        <v>6</v>
      </c>
    </row>
    <row r="2" spans="1:9">
      <c r="A2" s="4" t="s">
        <v>7</v>
      </c>
      <c r="B2" s="10"/>
      <c r="C2" s="10"/>
      <c r="D2" s="10"/>
      <c r="E2" s="30"/>
      <c r="F2" s="5"/>
      <c r="G2" s="5"/>
    </row>
    <row r="3" spans="1:9">
      <c r="A3" s="70" t="s">
        <v>8</v>
      </c>
      <c r="B3" s="29">
        <v>2.7</v>
      </c>
      <c r="C3" s="265" t="s">
        <v>9</v>
      </c>
      <c r="D3" s="265" t="s">
        <v>9</v>
      </c>
      <c r="E3" s="79" t="s">
        <v>9</v>
      </c>
      <c r="F3" s="36">
        <v>25000</v>
      </c>
      <c r="G3" s="41" t="s">
        <v>10</v>
      </c>
      <c r="I3" t="s">
        <v>11</v>
      </c>
    </row>
    <row r="4" spans="1:9">
      <c r="A4" s="70" t="s">
        <v>12</v>
      </c>
      <c r="B4" s="29">
        <v>2.7</v>
      </c>
      <c r="C4" s="265" t="s">
        <v>9</v>
      </c>
      <c r="D4" s="265" t="s">
        <v>9</v>
      </c>
      <c r="E4" s="79" t="s">
        <v>9</v>
      </c>
      <c r="F4" s="36">
        <v>10000</v>
      </c>
      <c r="G4" s="41" t="s">
        <v>10</v>
      </c>
    </row>
    <row r="5" spans="1:9">
      <c r="A5" s="70" t="s">
        <v>13</v>
      </c>
      <c r="B5" s="29">
        <v>3</v>
      </c>
      <c r="C5" s="265" t="s">
        <v>9</v>
      </c>
      <c r="D5" s="265" t="s">
        <v>9</v>
      </c>
      <c r="E5" s="79" t="s">
        <v>9</v>
      </c>
      <c r="F5" s="36">
        <v>5000</v>
      </c>
      <c r="G5" s="41" t="s">
        <v>10</v>
      </c>
    </row>
    <row r="6" spans="1:9">
      <c r="A6" s="71" t="s">
        <v>14</v>
      </c>
      <c r="B6" s="9">
        <v>3</v>
      </c>
      <c r="C6" s="266" t="s">
        <v>9</v>
      </c>
      <c r="D6" s="266" t="s">
        <v>9</v>
      </c>
      <c r="E6" s="80" t="s">
        <v>9</v>
      </c>
      <c r="F6" s="36">
        <v>25000</v>
      </c>
      <c r="G6" s="41" t="s">
        <v>10</v>
      </c>
      <c r="I6" s="1"/>
    </row>
    <row r="7" spans="1:9">
      <c r="A7" s="4" t="s">
        <v>15</v>
      </c>
      <c r="B7" s="10"/>
      <c r="C7" s="81"/>
      <c r="D7" s="81"/>
      <c r="E7" s="81"/>
      <c r="F7" s="5"/>
      <c r="G7" s="5"/>
    </row>
    <row r="8" spans="1:9">
      <c r="A8" s="67" t="s">
        <v>16</v>
      </c>
      <c r="B8" s="32">
        <v>7</v>
      </c>
      <c r="C8" s="267" t="s">
        <v>17</v>
      </c>
      <c r="D8" s="267">
        <v>47277</v>
      </c>
      <c r="E8" s="82">
        <v>400000</v>
      </c>
      <c r="F8" s="37">
        <v>370000</v>
      </c>
      <c r="G8" s="42" t="s">
        <v>18</v>
      </c>
    </row>
    <row r="9" spans="1:9" ht="15.75" thickBot="1">
      <c r="A9" s="67" t="s">
        <v>16</v>
      </c>
      <c r="B9" s="32">
        <v>7.6</v>
      </c>
      <c r="C9" s="268" t="s">
        <v>17</v>
      </c>
      <c r="D9" s="267">
        <v>47277</v>
      </c>
      <c r="E9" s="82">
        <v>400000</v>
      </c>
      <c r="F9" s="37">
        <v>371000</v>
      </c>
      <c r="G9" s="42" t="s">
        <v>18</v>
      </c>
    </row>
    <row r="10" spans="1:9" ht="15.75" thickBot="1">
      <c r="A10" s="115" t="s">
        <v>19</v>
      </c>
      <c r="B10" s="109">
        <v>7.25</v>
      </c>
      <c r="C10" s="269">
        <v>45088</v>
      </c>
      <c r="D10" s="270" t="s">
        <v>22</v>
      </c>
      <c r="E10" s="110">
        <v>169500</v>
      </c>
      <c r="F10" s="111">
        <v>162000</v>
      </c>
      <c r="G10" s="116" t="s">
        <v>10</v>
      </c>
    </row>
    <row r="11" spans="1:9" ht="15.75" thickBot="1">
      <c r="A11" s="117" t="s">
        <v>20</v>
      </c>
      <c r="B11" s="112">
        <v>7.4</v>
      </c>
      <c r="C11" s="270" t="s">
        <v>21</v>
      </c>
      <c r="D11" s="270" t="s">
        <v>22</v>
      </c>
      <c r="E11" s="113">
        <v>50000</v>
      </c>
      <c r="F11" s="114">
        <v>42000</v>
      </c>
      <c r="G11" s="118" t="s">
        <v>10</v>
      </c>
    </row>
    <row r="12" spans="1:9">
      <c r="A12" s="103" t="s">
        <v>23</v>
      </c>
      <c r="B12" s="104">
        <v>6.5</v>
      </c>
      <c r="C12" s="271">
        <v>46114</v>
      </c>
      <c r="D12" s="271">
        <v>47211</v>
      </c>
      <c r="E12" s="105">
        <v>80000</v>
      </c>
      <c r="F12" s="36">
        <v>74000</v>
      </c>
      <c r="G12" s="106" t="s">
        <v>10</v>
      </c>
    </row>
    <row r="13" spans="1:9" ht="15.75" customHeight="1">
      <c r="A13" s="103" t="s">
        <v>24</v>
      </c>
      <c r="B13" s="104">
        <v>6.5</v>
      </c>
      <c r="C13" s="271">
        <v>46057</v>
      </c>
      <c r="D13" s="271">
        <v>47181</v>
      </c>
      <c r="E13" s="105">
        <v>80000</v>
      </c>
      <c r="F13" s="36">
        <v>74000</v>
      </c>
      <c r="G13" s="106" t="s">
        <v>10</v>
      </c>
    </row>
    <row r="14" spans="1:9">
      <c r="A14" s="103" t="s">
        <v>25</v>
      </c>
      <c r="B14" s="104">
        <v>6.6</v>
      </c>
      <c r="C14" s="272" t="s">
        <v>26</v>
      </c>
      <c r="D14" s="272" t="s">
        <v>27</v>
      </c>
      <c r="E14" s="273">
        <v>300000</v>
      </c>
      <c r="F14" s="36">
        <v>275000</v>
      </c>
      <c r="G14" s="106" t="s">
        <v>10</v>
      </c>
    </row>
    <row r="15" spans="1:9">
      <c r="A15" s="107" t="s">
        <v>28</v>
      </c>
      <c r="B15" s="104">
        <v>6.6</v>
      </c>
      <c r="C15" s="272" t="s">
        <v>26</v>
      </c>
      <c r="D15" s="272" t="s">
        <v>27</v>
      </c>
      <c r="E15" s="273">
        <v>300000</v>
      </c>
      <c r="F15" s="36">
        <v>275000</v>
      </c>
      <c r="G15" s="108" t="s">
        <v>10</v>
      </c>
    </row>
    <row r="16" spans="1:9">
      <c r="A16" s="69" t="s">
        <v>29</v>
      </c>
      <c r="B16" s="34">
        <v>6.5</v>
      </c>
      <c r="C16" s="274" t="s">
        <v>9</v>
      </c>
      <c r="D16" s="274" t="s">
        <v>9</v>
      </c>
      <c r="E16" s="80" t="s">
        <v>9</v>
      </c>
      <c r="F16" s="3">
        <v>5000000</v>
      </c>
      <c r="G16" s="41" t="s">
        <v>10</v>
      </c>
    </row>
    <row r="17" spans="1:15">
      <c r="A17" s="4" t="s">
        <v>30</v>
      </c>
      <c r="B17" s="10"/>
      <c r="C17" s="81"/>
      <c r="D17" s="81"/>
      <c r="E17" s="81"/>
      <c r="F17" s="5"/>
      <c r="G17" s="16"/>
    </row>
    <row r="18" spans="1:15">
      <c r="A18" s="66" t="s">
        <v>31</v>
      </c>
      <c r="B18" s="44">
        <v>8.25</v>
      </c>
      <c r="C18" s="275" t="s">
        <v>32</v>
      </c>
      <c r="D18" s="275" t="s">
        <v>9</v>
      </c>
      <c r="E18" s="84" t="s">
        <v>9</v>
      </c>
      <c r="F18" s="45">
        <v>628524</v>
      </c>
      <c r="G18" s="46" t="s">
        <v>18</v>
      </c>
    </row>
    <row r="19" spans="1:15">
      <c r="A19" s="66" t="s">
        <v>33</v>
      </c>
      <c r="B19" s="44">
        <v>7.99</v>
      </c>
      <c r="C19" s="275" t="s">
        <v>34</v>
      </c>
      <c r="D19" s="275" t="s">
        <v>9</v>
      </c>
      <c r="E19" s="84" t="s">
        <v>9</v>
      </c>
      <c r="F19" s="171">
        <v>154358.69</v>
      </c>
      <c r="G19" s="46" t="s">
        <v>18</v>
      </c>
      <c r="H19" s="11"/>
    </row>
    <row r="20" spans="1:15">
      <c r="A20" s="4" t="s">
        <v>35</v>
      </c>
      <c r="B20" s="10"/>
      <c r="C20" s="81"/>
      <c r="D20" s="81"/>
      <c r="E20" s="81"/>
      <c r="F20" s="5"/>
      <c r="G20" s="5"/>
      <c r="H20" s="17"/>
    </row>
    <row r="21" spans="1:15">
      <c r="A21" s="68" t="s">
        <v>36</v>
      </c>
      <c r="B21" s="31">
        <v>7.1</v>
      </c>
      <c r="C21" s="276" t="s">
        <v>37</v>
      </c>
      <c r="D21" s="276" t="s">
        <v>9</v>
      </c>
      <c r="E21" s="83" t="s">
        <v>9</v>
      </c>
      <c r="F21" s="38">
        <v>1941574</v>
      </c>
      <c r="G21" s="43" t="s">
        <v>10</v>
      </c>
    </row>
    <row r="22" spans="1:15">
      <c r="A22" s="4" t="s">
        <v>38</v>
      </c>
      <c r="B22" s="10"/>
      <c r="C22" s="81"/>
      <c r="D22" s="81"/>
      <c r="E22" s="81"/>
      <c r="F22" s="5"/>
      <c r="G22" s="5"/>
      <c r="O22" s="173"/>
    </row>
    <row r="23" spans="1:15">
      <c r="A23" s="71" t="s">
        <v>39</v>
      </c>
      <c r="B23" s="9" t="s">
        <v>40</v>
      </c>
      <c r="C23" s="266" t="s">
        <v>9</v>
      </c>
      <c r="D23" s="266" t="s">
        <v>9</v>
      </c>
      <c r="E23" s="3">
        <v>800000</v>
      </c>
      <c r="F23" s="3">
        <v>800000</v>
      </c>
      <c r="G23" s="41" t="s">
        <v>10</v>
      </c>
    </row>
    <row r="24" spans="1:15">
      <c r="A24" s="71" t="s">
        <v>41</v>
      </c>
      <c r="B24" s="9" t="s">
        <v>40</v>
      </c>
      <c r="C24" s="266" t="s">
        <v>9</v>
      </c>
      <c r="D24" s="266" t="s">
        <v>9</v>
      </c>
      <c r="E24" s="3">
        <v>250000</v>
      </c>
      <c r="F24" s="3">
        <v>250000</v>
      </c>
      <c r="G24" s="41" t="s">
        <v>10</v>
      </c>
    </row>
    <row r="25" spans="1:15">
      <c r="A25" s="71" t="s">
        <v>42</v>
      </c>
      <c r="B25" s="9" t="s">
        <v>40</v>
      </c>
      <c r="C25" s="266" t="s">
        <v>9</v>
      </c>
      <c r="D25" s="266" t="s">
        <v>9</v>
      </c>
      <c r="E25" s="3">
        <v>80000</v>
      </c>
      <c r="F25" s="3">
        <v>80000</v>
      </c>
      <c r="G25" s="41" t="s">
        <v>10</v>
      </c>
    </row>
    <row r="26" spans="1:15">
      <c r="A26" s="71" t="s">
        <v>43</v>
      </c>
      <c r="B26" s="9" t="s">
        <v>40</v>
      </c>
      <c r="C26" s="266" t="s">
        <v>9</v>
      </c>
      <c r="D26" s="266" t="s">
        <v>9</v>
      </c>
      <c r="E26" s="3">
        <v>65000</v>
      </c>
      <c r="F26" s="3">
        <v>65000</v>
      </c>
      <c r="G26" s="41" t="s">
        <v>10</v>
      </c>
    </row>
    <row r="27" spans="1:15">
      <c r="A27" s="4" t="s">
        <v>44</v>
      </c>
      <c r="B27" s="10"/>
      <c r="C27" s="81"/>
      <c r="D27" s="81"/>
      <c r="E27" s="81"/>
      <c r="F27" s="5"/>
      <c r="G27" s="5"/>
      <c r="O27" s="174"/>
    </row>
    <row r="28" spans="1:15" ht="14.25" customHeight="1">
      <c r="A28" s="148" t="s">
        <v>45</v>
      </c>
      <c r="B28" s="149" t="s">
        <v>40</v>
      </c>
      <c r="C28" s="277" t="s">
        <v>9</v>
      </c>
      <c r="D28" s="277" t="s">
        <v>9</v>
      </c>
      <c r="E28" s="150">
        <v>1300000</v>
      </c>
      <c r="F28" s="150">
        <v>1300000</v>
      </c>
      <c r="G28" s="21" t="s">
        <v>9</v>
      </c>
      <c r="H28" s="9"/>
      <c r="I28" s="9"/>
      <c r="J28" s="9"/>
      <c r="K28" s="9"/>
    </row>
    <row r="29" spans="1:15">
      <c r="A29" s="141" t="s">
        <v>46</v>
      </c>
      <c r="B29" s="142" t="s">
        <v>47</v>
      </c>
      <c r="C29" s="278" t="s">
        <v>9</v>
      </c>
      <c r="D29" s="278" t="s">
        <v>9</v>
      </c>
      <c r="E29" s="143">
        <v>25</v>
      </c>
      <c r="F29" s="144">
        <f ca="1">B64*E29*B90</f>
        <v>1171847.7750000001</v>
      </c>
      <c r="G29" s="21" t="s">
        <v>9</v>
      </c>
      <c r="H29" s="17"/>
      <c r="I29" s="17"/>
      <c r="J29" s="17"/>
      <c r="K29" s="17"/>
    </row>
    <row r="30" spans="1:15">
      <c r="A30" s="71" t="s">
        <v>48</v>
      </c>
      <c r="B30" s="9" t="s">
        <v>47</v>
      </c>
      <c r="C30" s="266">
        <v>45692</v>
      </c>
      <c r="D30" s="266" t="s">
        <v>9</v>
      </c>
      <c r="E30" s="120">
        <v>25</v>
      </c>
      <c r="F30" s="39">
        <f ca="1">E30*B67*B90</f>
        <v>1707324.885</v>
      </c>
      <c r="G30" s="21" t="s">
        <v>9</v>
      </c>
      <c r="H30" s="147"/>
    </row>
    <row r="31" spans="1:15" ht="14.25" customHeight="1">
      <c r="A31" s="71" t="s">
        <v>49</v>
      </c>
      <c r="B31" s="9" t="s">
        <v>47</v>
      </c>
      <c r="C31" s="266">
        <v>45692</v>
      </c>
      <c r="D31" s="266" t="s">
        <v>9</v>
      </c>
      <c r="E31" s="120">
        <v>12</v>
      </c>
      <c r="F31" s="39">
        <f ca="1">E31*B68*B90</f>
        <v>337469.27760000003</v>
      </c>
      <c r="G31" s="21" t="s">
        <v>9</v>
      </c>
      <c r="H31" s="17"/>
      <c r="I31" s="17"/>
      <c r="J31" s="17"/>
      <c r="K31" s="17"/>
    </row>
    <row r="32" spans="1:15">
      <c r="A32" s="71" t="s">
        <v>50</v>
      </c>
      <c r="B32" s="9" t="s">
        <v>47</v>
      </c>
      <c r="C32" s="266" t="s">
        <v>51</v>
      </c>
      <c r="D32" s="266" t="s">
        <v>9</v>
      </c>
      <c r="E32" s="120">
        <v>15</v>
      </c>
      <c r="F32" s="39">
        <f ca="1">E32*B77*B90</f>
        <v>934842.06900000002</v>
      </c>
      <c r="G32" s="21" t="s">
        <v>9</v>
      </c>
      <c r="I32" s="121"/>
    </row>
    <row r="33" spans="1:15">
      <c r="A33" s="71" t="s">
        <v>52</v>
      </c>
      <c r="B33" s="9" t="s">
        <v>47</v>
      </c>
      <c r="C33" s="266" t="s">
        <v>51</v>
      </c>
      <c r="D33" s="266" t="s">
        <v>9</v>
      </c>
      <c r="E33" s="120">
        <v>12</v>
      </c>
      <c r="F33" s="39">
        <f ca="1">E33*B74*B90</f>
        <v>159301.6992</v>
      </c>
      <c r="G33" s="21" t="s">
        <v>9</v>
      </c>
      <c r="I33" s="121"/>
    </row>
    <row r="34" spans="1:15">
      <c r="A34" s="71" t="s">
        <v>53</v>
      </c>
      <c r="B34" s="9" t="s">
        <v>47</v>
      </c>
      <c r="C34" s="266" t="s">
        <v>51</v>
      </c>
      <c r="D34" s="266" t="s">
        <v>9</v>
      </c>
      <c r="E34" s="120">
        <v>0</v>
      </c>
      <c r="F34" s="39">
        <f ca="1">E34*B79*B90</f>
        <v>0</v>
      </c>
      <c r="G34" s="21" t="s">
        <v>9</v>
      </c>
      <c r="I34" s="121"/>
    </row>
    <row r="35" spans="1:15">
      <c r="A35" s="71" t="s">
        <v>54</v>
      </c>
      <c r="B35" s="9" t="s">
        <v>47</v>
      </c>
      <c r="C35" s="266">
        <v>46266</v>
      </c>
      <c r="D35" s="266" t="s">
        <v>9</v>
      </c>
      <c r="E35" s="120">
        <v>0</v>
      </c>
      <c r="F35" s="39">
        <f ca="1">E35*B85*B90</f>
        <v>0</v>
      </c>
      <c r="G35" s="21" t="s">
        <v>9</v>
      </c>
    </row>
    <row r="36" spans="1:15">
      <c r="A36" s="71" t="s">
        <v>55</v>
      </c>
      <c r="B36" s="9" t="s">
        <v>47</v>
      </c>
      <c r="C36" s="266">
        <v>46237</v>
      </c>
      <c r="D36" s="266" t="s">
        <v>9</v>
      </c>
      <c r="E36" s="120">
        <v>5</v>
      </c>
      <c r="F36" s="39">
        <f ca="1">E36*B90*B86</f>
        <v>248405.98650000003</v>
      </c>
      <c r="G36" s="21" t="s">
        <v>9</v>
      </c>
    </row>
    <row r="37" spans="1:15">
      <c r="A37" s="71" t="s">
        <v>56</v>
      </c>
      <c r="B37" s="9" t="s">
        <v>47</v>
      </c>
      <c r="C37" s="266">
        <v>46055</v>
      </c>
      <c r="D37" s="266" t="s">
        <v>9</v>
      </c>
      <c r="E37" s="120">
        <v>0</v>
      </c>
      <c r="F37" s="39">
        <f ca="1">E37*B84*B90</f>
        <v>0</v>
      </c>
      <c r="G37" s="21" t="s">
        <v>9</v>
      </c>
    </row>
    <row r="38" spans="1:15">
      <c r="A38" s="71" t="s">
        <v>57</v>
      </c>
      <c r="B38" s="9" t="s">
        <v>47</v>
      </c>
      <c r="C38" s="266" t="s">
        <v>9</v>
      </c>
      <c r="D38" s="266" t="s">
        <v>9</v>
      </c>
      <c r="E38" s="120">
        <v>12</v>
      </c>
      <c r="F38" s="39">
        <f ca="1">E38*B66*B90</f>
        <v>801851.34960000007</v>
      </c>
      <c r="G38" s="21" t="s">
        <v>9</v>
      </c>
    </row>
    <row r="39" spans="1:15">
      <c r="A39" s="71" t="s">
        <v>58</v>
      </c>
      <c r="B39" s="9" t="s">
        <v>47</v>
      </c>
      <c r="C39" s="266" t="s">
        <v>51</v>
      </c>
      <c r="D39" s="266" t="s">
        <v>9</v>
      </c>
      <c r="E39" s="120">
        <v>5</v>
      </c>
      <c r="F39" s="39">
        <f ca="1">E39*B78*B90</f>
        <v>36243.500999999997</v>
      </c>
      <c r="G39" s="21" t="s">
        <v>9</v>
      </c>
      <c r="I39" s="121"/>
    </row>
    <row r="40" spans="1:15">
      <c r="A40" s="71" t="s">
        <v>59</v>
      </c>
      <c r="B40" s="9" t="s">
        <v>47</v>
      </c>
      <c r="C40" s="266" t="s">
        <v>51</v>
      </c>
      <c r="D40" s="266" t="s">
        <v>9</v>
      </c>
      <c r="E40" s="120">
        <v>15</v>
      </c>
      <c r="F40" s="39">
        <f ca="1">E40*B70*B90</f>
        <v>760813.20000000007</v>
      </c>
      <c r="G40" s="21" t="s">
        <v>9</v>
      </c>
      <c r="I40" s="121"/>
      <c r="O40" s="35"/>
    </row>
    <row r="41" spans="1:15" ht="14.25" customHeight="1">
      <c r="A41" s="71" t="s">
        <v>60</v>
      </c>
      <c r="B41" s="9" t="s">
        <v>47</v>
      </c>
      <c r="C41" s="266">
        <v>45664</v>
      </c>
      <c r="D41" s="266" t="s">
        <v>9</v>
      </c>
      <c r="E41" s="120">
        <v>0</v>
      </c>
      <c r="F41" s="39">
        <f ca="1">E41*B69*B90</f>
        <v>0</v>
      </c>
      <c r="G41" s="21" t="s">
        <v>9</v>
      </c>
      <c r="H41" s="17"/>
      <c r="I41" s="17"/>
      <c r="J41" s="17"/>
    </row>
    <row r="42" spans="1:15">
      <c r="A42" s="71" t="s">
        <v>61</v>
      </c>
      <c r="B42" s="9" t="s">
        <v>47</v>
      </c>
      <c r="C42" s="266" t="s">
        <v>9</v>
      </c>
      <c r="D42" s="266" t="s">
        <v>9</v>
      </c>
      <c r="E42" s="120">
        <v>50</v>
      </c>
      <c r="F42" s="39">
        <f ca="1">E42*B65*B90</f>
        <v>1576208.55</v>
      </c>
      <c r="G42" s="21" t="s">
        <v>9</v>
      </c>
      <c r="I42" s="121"/>
    </row>
    <row r="43" spans="1:15">
      <c r="A43" s="71" t="s">
        <v>62</v>
      </c>
      <c r="B43" s="9" t="s">
        <v>47</v>
      </c>
      <c r="C43" s="266" t="s">
        <v>63</v>
      </c>
      <c r="D43" s="266" t="s">
        <v>9</v>
      </c>
      <c r="E43" s="120">
        <v>10</v>
      </c>
      <c r="F43" s="39">
        <f ca="1">E43*B81*B90</f>
        <v>374743.40399999998</v>
      </c>
      <c r="G43" s="21" t="s">
        <v>9</v>
      </c>
      <c r="I43" s="121"/>
    </row>
    <row r="44" spans="1:15">
      <c r="A44" s="71" t="s">
        <v>64</v>
      </c>
      <c r="B44" s="9" t="s">
        <v>47</v>
      </c>
      <c r="C44" s="266" t="s">
        <v>9</v>
      </c>
      <c r="D44" s="266" t="s">
        <v>9</v>
      </c>
      <c r="E44" s="120">
        <v>2</v>
      </c>
      <c r="F44" s="39">
        <f ca="1">E44*B87*B90</f>
        <v>12026.187600000001</v>
      </c>
      <c r="G44" s="21" t="s">
        <v>9</v>
      </c>
      <c r="I44" s="121"/>
    </row>
    <row r="45" spans="1:15">
      <c r="A45" s="71" t="s">
        <v>65</v>
      </c>
      <c r="B45" s="9" t="s">
        <v>47</v>
      </c>
      <c r="C45" s="266" t="s">
        <v>51</v>
      </c>
      <c r="D45" s="266" t="s">
        <v>9</v>
      </c>
      <c r="E45" s="120">
        <v>0</v>
      </c>
      <c r="F45" s="39">
        <f ca="1">E45*B71*B90</f>
        <v>0</v>
      </c>
      <c r="G45" s="21" t="s">
        <v>9</v>
      </c>
      <c r="I45" s="121"/>
    </row>
    <row r="46" spans="1:15">
      <c r="A46" s="71" t="s">
        <v>66</v>
      </c>
      <c r="B46" s="9" t="s">
        <v>47</v>
      </c>
      <c r="C46" s="266" t="s">
        <v>51</v>
      </c>
      <c r="D46" s="266" t="s">
        <v>9</v>
      </c>
      <c r="E46" s="120">
        <v>0</v>
      </c>
      <c r="F46" s="39">
        <f ca="1">E46*B72*B90</f>
        <v>0</v>
      </c>
      <c r="G46" s="21" t="s">
        <v>9</v>
      </c>
      <c r="I46" s="121"/>
    </row>
    <row r="47" spans="1:15">
      <c r="A47" s="71" t="s">
        <v>67</v>
      </c>
      <c r="B47" s="9" t="s">
        <v>47</v>
      </c>
      <c r="C47" s="266" t="s">
        <v>51</v>
      </c>
      <c r="D47" s="266" t="s">
        <v>9</v>
      </c>
      <c r="E47" s="120">
        <v>12</v>
      </c>
      <c r="F47" s="39">
        <f ca="1">E47*B73*B90</f>
        <v>288765.79200000002</v>
      </c>
      <c r="G47" s="21" t="s">
        <v>9</v>
      </c>
      <c r="I47" s="121"/>
    </row>
    <row r="48" spans="1:15">
      <c r="A48" s="71" t="s">
        <v>68</v>
      </c>
      <c r="B48" s="9" t="s">
        <v>47</v>
      </c>
      <c r="C48" s="266" t="s">
        <v>51</v>
      </c>
      <c r="D48" s="266" t="s">
        <v>9</v>
      </c>
      <c r="E48" s="120">
        <v>0</v>
      </c>
      <c r="F48" s="39">
        <f ca="1">E48*B75*B90</f>
        <v>0</v>
      </c>
      <c r="G48" s="21" t="s">
        <v>9</v>
      </c>
      <c r="I48" s="121"/>
    </row>
    <row r="49" spans="1:9">
      <c r="A49" s="71" t="s">
        <v>69</v>
      </c>
      <c r="B49" s="9" t="s">
        <v>47</v>
      </c>
      <c r="C49" s="266" t="s">
        <v>51</v>
      </c>
      <c r="D49" s="266" t="s">
        <v>9</v>
      </c>
      <c r="E49" s="120">
        <v>0</v>
      </c>
      <c r="F49" s="39">
        <f ca="1">E49*B76*B90</f>
        <v>0</v>
      </c>
      <c r="G49" s="21" t="s">
        <v>9</v>
      </c>
      <c r="I49" s="121"/>
    </row>
    <row r="50" spans="1:9">
      <c r="A50" s="71" t="s">
        <v>70</v>
      </c>
      <c r="B50" s="9" t="s">
        <v>47</v>
      </c>
      <c r="C50" s="266" t="s">
        <v>51</v>
      </c>
      <c r="D50" s="266" t="s">
        <v>9</v>
      </c>
      <c r="E50" s="120">
        <v>12</v>
      </c>
      <c r="F50" s="39">
        <f ca="1">E50*B80*B90</f>
        <v>360774.18719999999</v>
      </c>
      <c r="G50" s="21" t="s">
        <v>9</v>
      </c>
    </row>
    <row r="51" spans="1:9">
      <c r="A51" s="71" t="s">
        <v>71</v>
      </c>
      <c r="B51" s="9" t="s">
        <v>47</v>
      </c>
      <c r="C51" s="266">
        <v>46266</v>
      </c>
      <c r="D51" s="266" t="s">
        <v>9</v>
      </c>
      <c r="E51" s="120">
        <v>0</v>
      </c>
      <c r="F51" s="39">
        <f ca="1">E51*B82*B90</f>
        <v>0</v>
      </c>
      <c r="G51" s="21" t="s">
        <v>9</v>
      </c>
    </row>
    <row r="52" spans="1:9" collapsed="1">
      <c r="A52" s="71" t="s">
        <v>72</v>
      </c>
      <c r="B52" s="9" t="s">
        <v>47</v>
      </c>
      <c r="C52" s="266">
        <v>46266</v>
      </c>
      <c r="D52" s="266" t="s">
        <v>9</v>
      </c>
      <c r="E52" s="120">
        <v>0</v>
      </c>
      <c r="F52" s="39">
        <f ca="1">E52*B83*B90</f>
        <v>0</v>
      </c>
      <c r="G52" s="21" t="s">
        <v>9</v>
      </c>
    </row>
    <row r="53" spans="1:9">
      <c r="A53" s="71" t="s">
        <v>73</v>
      </c>
      <c r="B53" s="9" t="s">
        <v>47</v>
      </c>
      <c r="C53" s="266" t="s">
        <v>9</v>
      </c>
      <c r="D53" s="266" t="s">
        <v>9</v>
      </c>
      <c r="E53" s="78">
        <v>0</v>
      </c>
      <c r="F53" s="39">
        <f ca="1">E53*B90</f>
        <v>0</v>
      </c>
      <c r="G53" s="21" t="s">
        <v>9</v>
      </c>
    </row>
    <row r="54" spans="1:9">
      <c r="A54" s="71" t="s">
        <v>74</v>
      </c>
      <c r="B54" s="9" t="s">
        <v>47</v>
      </c>
      <c r="C54" s="266" t="s">
        <v>9</v>
      </c>
      <c r="D54" s="266" t="s">
        <v>9</v>
      </c>
      <c r="E54" s="78">
        <v>0</v>
      </c>
      <c r="F54" s="39">
        <f ca="1">E54*B90</f>
        <v>0</v>
      </c>
      <c r="G54" s="21" t="s">
        <v>9</v>
      </c>
    </row>
    <row r="55" spans="1:9">
      <c r="A55" s="4" t="s">
        <v>75</v>
      </c>
      <c r="B55" s="10"/>
      <c r="C55" s="81"/>
      <c r="D55" s="81"/>
      <c r="E55" s="81"/>
      <c r="F55" s="5"/>
      <c r="G55" s="5"/>
    </row>
    <row r="56" spans="1:9">
      <c r="A56" s="71" t="s">
        <v>76</v>
      </c>
      <c r="B56" s="9" t="s">
        <v>40</v>
      </c>
      <c r="C56" s="266">
        <v>45692</v>
      </c>
      <c r="D56" s="266" t="s">
        <v>9</v>
      </c>
      <c r="E56" s="279">
        <v>0.10811828</v>
      </c>
      <c r="F56" s="40">
        <v>161942</v>
      </c>
      <c r="G56" s="21" t="s">
        <v>9</v>
      </c>
    </row>
    <row r="57" spans="1:9">
      <c r="A57" s="71" t="s">
        <v>77</v>
      </c>
      <c r="B57" s="9" t="s">
        <v>40</v>
      </c>
      <c r="C57" s="266">
        <v>45692</v>
      </c>
      <c r="D57" s="266" t="s">
        <v>9</v>
      </c>
      <c r="E57" s="279">
        <v>0.96192</v>
      </c>
      <c r="F57" s="40">
        <v>161813</v>
      </c>
      <c r="G57" s="21" t="s">
        <v>9</v>
      </c>
    </row>
    <row r="58" spans="1:9">
      <c r="A58" s="71" t="s">
        <v>78</v>
      </c>
      <c r="B58" s="9" t="s">
        <v>40</v>
      </c>
      <c r="C58" s="266">
        <v>45692</v>
      </c>
      <c r="D58" s="266" t="s">
        <v>9</v>
      </c>
      <c r="E58" s="280">
        <v>0</v>
      </c>
      <c r="F58" s="40">
        <f>E58</f>
        <v>0</v>
      </c>
      <c r="G58" s="21" t="s">
        <v>9</v>
      </c>
    </row>
    <row r="59" spans="1:9" ht="15.75">
      <c r="A59" s="140" t="s">
        <v>79</v>
      </c>
      <c r="B59" s="119"/>
      <c r="C59" s="119"/>
      <c r="D59" s="119"/>
      <c r="E59" s="119"/>
      <c r="F59" s="87">
        <f ca="1">G59-SUM(F18:F19)-SUM(F8:F9)</f>
        <v>19497946.863699999</v>
      </c>
      <c r="G59" s="281">
        <f ca="1">SUM(F3:F58)</f>
        <v>21021829.5537</v>
      </c>
    </row>
    <row r="60" spans="1:9" ht="15.75">
      <c r="A60" s="20"/>
      <c r="B60" s="20"/>
      <c r="C60" s="20"/>
      <c r="D60" s="20"/>
      <c r="E60" s="20"/>
      <c r="F60" s="20"/>
    </row>
    <row r="61" spans="1:9" ht="16.5" customHeight="1">
      <c r="H61" s="9"/>
    </row>
    <row r="62" spans="1:9" ht="16.5" customHeight="1" thickBot="1"/>
    <row r="63" spans="1:9" ht="16.5" thickBot="1">
      <c r="A63" s="49" t="s">
        <v>81</v>
      </c>
      <c r="B63" s="49" t="s">
        <v>82</v>
      </c>
      <c r="C63" s="50" t="s">
        <v>83</v>
      </c>
      <c r="D63" s="51" t="s">
        <v>84</v>
      </c>
      <c r="E63" s="52" t="s">
        <v>85</v>
      </c>
    </row>
    <row r="64" spans="1:9" ht="15.75" thickBot="1">
      <c r="A64" s="85" t="e" vm="1">
        <v>#VALUE!</v>
      </c>
      <c r="B64" s="134" cm="1">
        <f t="array" aca="1" ref="B64" ca="1">_FV(A64,"Price")</f>
        <v>491.65</v>
      </c>
      <c r="C64" s="27" cm="1">
        <f t="array" aca="1" ref="C64" ca="1">_FV(A64,"Change (%)",TRUE)</f>
        <v>-4.6560000000000004E-3</v>
      </c>
      <c r="D64" s="28" cm="1">
        <f t="array" aca="1" ref="D64" ca="1">_FV(A64,"52 week low",TRUE)</f>
        <v>349.2</v>
      </c>
      <c r="E64" s="48" cm="1">
        <f t="array" aca="1" ref="E64" ca="1">_FV(A64,"52 week high",TRUE)</f>
        <v>553.72</v>
      </c>
      <c r="F64" s="9"/>
    </row>
    <row r="65" spans="1:7" ht="15.75" thickBot="1">
      <c r="A65" s="85" t="e" vm="2">
        <v>#VALUE!</v>
      </c>
      <c r="B65" s="135" cm="1">
        <f t="array" aca="1" ref="B65" ca="1">_FV(A65,"Price")</f>
        <v>330.65</v>
      </c>
      <c r="C65" s="72" cm="1">
        <f t="array" aca="1" ref="C65" ca="1">_FV(A65,"Change (%)",TRUE)</f>
        <v>-2.2786000000000001E-2</v>
      </c>
      <c r="D65" s="73" cm="1">
        <f t="array" aca="1" ref="D65" ca="1">_FV(A65,"52 week low",TRUE)</f>
        <v>233.22900000000001</v>
      </c>
      <c r="E65" s="74" cm="1">
        <f t="array" aca="1" ref="E65" ca="1">_FV(A65,"52 week high",TRUE)</f>
        <v>408.61</v>
      </c>
      <c r="F65" s="9"/>
    </row>
    <row r="66" spans="1:7" ht="15.75" thickBot="1">
      <c r="A66" s="85" t="e" vm="3">
        <v>#VALUE!</v>
      </c>
      <c r="B66" s="135" cm="1">
        <f t="array" aca="1" ref="B66" ca="1">_FV(A66,"Price")</f>
        <v>700.87</v>
      </c>
      <c r="C66" s="72" cm="1">
        <f t="array" aca="1" ref="C66" ca="1">_FV(A66,"Change (%)",TRUE)</f>
        <v>-4.5450000000000004E-3</v>
      </c>
      <c r="D66" s="73" cm="1">
        <f t="array" aca="1" ref="D66" ca="1">_FV(A66,"52 week low",TRUE)</f>
        <v>578.46</v>
      </c>
      <c r="E66" s="74" cm="1">
        <f t="array" aca="1" ref="E66" ca="1">_FV(A66,"52 week high",TRUE)</f>
        <v>716.39</v>
      </c>
      <c r="F66" s="9"/>
    </row>
    <row r="67" spans="1:7" ht="15.75" thickBot="1">
      <c r="A67" s="86" t="e" vm="4">
        <v>#VALUE!</v>
      </c>
      <c r="B67" s="135" cm="1">
        <f t="array" aca="1" ref="B67" ca="1">_FV(A67,"Price")</f>
        <v>716.31</v>
      </c>
      <c r="C67" s="72" cm="1">
        <f t="array" aca="1" ref="C67" ca="1">_FV(A67,"Change (%)",TRUE)</f>
        <v>-2.8539999999999998E-3</v>
      </c>
      <c r="D67" s="73" cm="1">
        <f t="array" aca="1" ref="D67" ca="1">_FV(A67,"52 week low",TRUE)</f>
        <v>555.6</v>
      </c>
      <c r="E67" s="74" cm="1">
        <f t="array" aca="1" ref="E67" ca="1">_FV(A67,"52 week high",TRUE)</f>
        <v>748.65</v>
      </c>
      <c r="G67" s="29"/>
    </row>
    <row r="68" spans="1:7">
      <c r="A68" s="85" t="e" vm="5">
        <v>#VALUE!</v>
      </c>
      <c r="B68" s="135" cm="1">
        <f t="array" aca="1" ref="B68" ca="1">_FV(A68,"Price")</f>
        <v>294.97000000000003</v>
      </c>
      <c r="C68" s="72" cm="1">
        <f t="array" aca="1" ref="C68" ca="1">_FV(A68,"Change (%)",TRUE)</f>
        <v>-2.6710000000000002E-3</v>
      </c>
      <c r="D68" s="73" cm="1">
        <f t="array" aca="1" ref="D68" ca="1">_FV(A68,"52 week low",TRUE)</f>
        <v>228.75</v>
      </c>
      <c r="E68" s="74" cm="1">
        <f t="array" aca="1" ref="E68" ca="1">_FV(A68,"52 week high",TRUE)</f>
        <v>308.20999999999998</v>
      </c>
    </row>
    <row r="69" spans="1:7">
      <c r="A69" s="125" t="e" vm="6">
        <v>#VALUE!</v>
      </c>
      <c r="B69" s="136" cm="1">
        <f t="array" aca="1" ref="B69" ca="1">_FV(A69,"Price")</f>
        <v>33.770000000000003</v>
      </c>
      <c r="C69" s="126" cm="1">
        <f t="array" aca="1" ref="C69" ca="1">_FV(A69,"Change (%)",TRUE)</f>
        <v>-1.4590000000000001E-2</v>
      </c>
      <c r="D69" s="127" cm="1">
        <f t="array" aca="1" ref="D69" ca="1">_FV(A69,"52 week low",TRUE)</f>
        <v>26.695</v>
      </c>
      <c r="E69" s="128" cm="1">
        <f t="array" aca="1" ref="E69" ca="1">_FV(A69,"52 week high",TRUE)</f>
        <v>34.6</v>
      </c>
    </row>
    <row r="70" spans="1:7">
      <c r="A70" s="125" t="e" vm="7">
        <v>#VALUE!</v>
      </c>
      <c r="B70" s="136" cm="1">
        <f t="array" aca="1" ref="B70" ca="1">_FV(A70,"Price")</f>
        <v>532</v>
      </c>
      <c r="C70" s="126" cm="1">
        <f t="array" aca="1" ref="C70" ca="1">_FV(A70,"Change (%)",TRUE)</f>
        <v>6.8130000000000005E-3</v>
      </c>
      <c r="D70" s="127" cm="1">
        <f t="array" aca="1" ref="D70" ca="1">_FV(A70,"52 week low",TRUE)</f>
        <v>247.23</v>
      </c>
      <c r="E70" s="128" cm="1">
        <f t="array" aca="1" ref="E70" ca="1">_FV(A70,"52 week high",TRUE)</f>
        <v>655.95</v>
      </c>
    </row>
    <row r="71" spans="1:7">
      <c r="A71" s="125" t="e" vm="8">
        <v>#VALUE!</v>
      </c>
      <c r="B71" s="136" cm="1">
        <f t="array" aca="1" ref="B71" ca="1">_FV(A71,"Price")</f>
        <v>53.45</v>
      </c>
      <c r="C71" s="126" cm="1">
        <f t="array" aca="1" ref="C71" ca="1">_FV(A71,"Change (%)",TRUE)</f>
        <v>-2.4279000000000002E-2</v>
      </c>
      <c r="D71" s="127" cm="1">
        <f t="array" aca="1" ref="D71" ca="1">_FV(A71,"52 week low",TRUE)</f>
        <v>44.12</v>
      </c>
      <c r="E71" s="128" cm="1">
        <f t="array" aca="1" ref="E71" ca="1">_FV(A71,"52 week high",TRUE)</f>
        <v>78.48</v>
      </c>
    </row>
    <row r="72" spans="1:7">
      <c r="A72" s="125" t="e" vm="9">
        <v>#VALUE!</v>
      </c>
      <c r="B72" s="136" cm="1">
        <f t="array" aca="1" ref="B72" ca="1">_FV(A72,"Price")</f>
        <v>1729.52</v>
      </c>
      <c r="C72" s="126" cm="1">
        <f t="array" aca="1" ref="C72" ca="1">_FV(A72,"Change (%)",TRUE)</f>
        <v>-2.0018999999999999E-2</v>
      </c>
      <c r="D72" s="127" cm="1">
        <f t="array" aca="1" ref="D72" ca="1">_FV(A72,"52 week low",TRUE)</f>
        <v>791.02</v>
      </c>
      <c r="E72" s="128" cm="1">
        <f t="array" aca="1" ref="E72" ca="1">_FV(A72,"52 week high",TRUE)</f>
        <v>1999.96</v>
      </c>
    </row>
    <row r="73" spans="1:7">
      <c r="A73" s="125" t="e" vm="10">
        <v>#VALUE!</v>
      </c>
      <c r="B73" s="136" cm="1">
        <f t="array" aca="1" ref="B73" ca="1">_FV(A73,"Price")</f>
        <v>252.4</v>
      </c>
      <c r="C73" s="126" cm="1">
        <f t="array" aca="1" ref="C73" ca="1">_FV(A73,"Change (%)",TRUE)</f>
        <v>-1.7784000000000001E-2</v>
      </c>
      <c r="D73" s="127" cm="1">
        <f t="array" aca="1" ref="D73" ca="1">_FV(A73,"52 week low",TRUE)</f>
        <v>196</v>
      </c>
      <c r="E73" s="128" cm="1">
        <f t="array" aca="1" ref="E73" ca="1">_FV(A73,"52 week high",TRUE)</f>
        <v>287.2</v>
      </c>
    </row>
    <row r="74" spans="1:7">
      <c r="A74" s="125" t="e" vm="11">
        <v>#VALUE!</v>
      </c>
      <c r="B74" s="136" cm="1">
        <f t="array" aca="1" ref="B74" ca="1">_FV(A74,"Price")</f>
        <v>139.24</v>
      </c>
      <c r="C74" s="126" cm="1">
        <f t="array" aca="1" ref="C74" ca="1">_FV(A74,"Change (%)",TRUE)</f>
        <v>-4.8841999999999997E-2</v>
      </c>
      <c r="D74" s="127" cm="1">
        <f t="array" aca="1" ref="D74" ca="1">_FV(A74,"52 week low",TRUE)</f>
        <v>87.89</v>
      </c>
      <c r="E74" s="128" cm="1">
        <f t="array" aca="1" ref="E74" ca="1">_FV(A74,"52 week high",TRUE)</f>
        <v>353</v>
      </c>
    </row>
    <row r="75" spans="1:7">
      <c r="A75" s="125" t="e" vm="12">
        <v>#VALUE!</v>
      </c>
      <c r="B75" s="136" cm="1">
        <f t="array" aca="1" ref="B75" ca="1">_FV(A75,"Price")</f>
        <v>62.42</v>
      </c>
      <c r="C75" s="126" cm="1">
        <f t="array" aca="1" ref="C75" ca="1">_FV(A75,"Change (%)",TRUE)</f>
        <v>-5.5959000000000002E-2</v>
      </c>
      <c r="D75" s="127" cm="1">
        <f t="array" aca="1" ref="D75" ca="1">_FV(A75,"52 week low",TRUE)</f>
        <v>36.08</v>
      </c>
      <c r="E75" s="128" cm="1">
        <f t="array" aca="1" ref="E75" ca="1">_FV(A75,"52 week high",TRUE)</f>
        <v>133.85990000000001</v>
      </c>
    </row>
    <row r="76" spans="1:7">
      <c r="A76" s="125" t="e" vm="13">
        <v>#VALUE!</v>
      </c>
      <c r="B76" s="136" cm="1">
        <f t="array" aca="1" ref="B76" ca="1">_FV(A76,"Price")</f>
        <v>25.175000000000001</v>
      </c>
      <c r="C76" s="126" cm="1">
        <f t="array" aca="1" ref="C76" ca="1">_FV(A76,"Change (%)",TRUE)</f>
        <v>-6.1684999999999997E-2</v>
      </c>
      <c r="D76" s="127" cm="1">
        <f t="array" aca="1" ref="D76" ca="1">_FV(A76,"52 week low",TRUE)</f>
        <v>19.355</v>
      </c>
      <c r="E76" s="128" cm="1">
        <f t="array" aca="1" ref="E76" ca="1">_FV(A76,"52 week high",TRUE)</f>
        <v>38.26</v>
      </c>
    </row>
    <row r="77" spans="1:7" ht="14.25" customHeight="1">
      <c r="A77" s="125" t="e" vm="14">
        <v>#VALUE!</v>
      </c>
      <c r="B77" s="136" cm="1">
        <f t="array" aca="1" ref="B77" ca="1">_FV(A77,"Price")</f>
        <v>653.69000000000005</v>
      </c>
      <c r="C77" s="126" cm="1">
        <f t="array" aca="1" ref="C77" ca="1">_FV(A77,"Change (%)",TRUE)</f>
        <v>6.5544000000000005E-2</v>
      </c>
      <c r="D77" s="127" cm="1">
        <f t="array" aca="1" ref="D77" ca="1">_FV(A77,"52 week low",TRUE)</f>
        <v>520.26</v>
      </c>
      <c r="E77" s="128" cm="1">
        <f t="array" aca="1" ref="E77" ca="1">_FV(A77,"52 week high",TRUE)</f>
        <v>790.8</v>
      </c>
    </row>
    <row r="78" spans="1:7">
      <c r="A78" s="125" t="e" vm="15">
        <v>#VALUE!</v>
      </c>
      <c r="B78" s="136" cm="1">
        <f t="array" aca="1" ref="B78" ca="1">_FV(A78,"Price")</f>
        <v>76.03</v>
      </c>
      <c r="C78" s="126" cm="1">
        <f t="array" aca="1" ref="C78" ca="1">_FV(A78,"Change (%)",TRUE)</f>
        <v>-9.639E-3</v>
      </c>
      <c r="D78" s="127" cm="1">
        <f t="array" aca="1" ref="D78" ca="1">_FV(A78,"52 week low",TRUE)</f>
        <v>65.08</v>
      </c>
      <c r="E78" s="128" cm="1">
        <f t="array" aca="1" ref="E78" ca="1">_FV(A78,"52 week high",TRUE)</f>
        <v>126.7</v>
      </c>
    </row>
    <row r="79" spans="1:7">
      <c r="A79" s="125" t="e" vm="16">
        <v>#VALUE!</v>
      </c>
      <c r="B79" s="136" cm="1">
        <f t="array" aca="1" ref="B79" ca="1">_FV(A79,"Price")</f>
        <v>86.4</v>
      </c>
      <c r="C79" s="126" cm="1">
        <f t="array" aca="1" ref="C79" ca="1">_FV(A79,"Change (%)",TRUE)</f>
        <v>-2.1184999999999999E-2</v>
      </c>
      <c r="D79" s="127" cm="1">
        <f t="array" aca="1" ref="D79" ca="1">_FV(A79,"52 week low",TRUE)</f>
        <v>60.104999999999997</v>
      </c>
      <c r="E79" s="128" cm="1">
        <f t="array" aca="1" ref="E79" ca="1">_FV(A79,"52 week high",TRUE)</f>
        <v>156</v>
      </c>
    </row>
    <row r="80" spans="1:7">
      <c r="A80" s="125" t="e" vm="17">
        <v>#VALUE!</v>
      </c>
      <c r="B80" s="136" cm="1">
        <f t="array" aca="1" ref="B80" ca="1">_FV(A80,"Price")</f>
        <v>315.33999999999997</v>
      </c>
      <c r="C80" s="126" cm="1">
        <f t="array" aca="1" ref="C80" ca="1">_FV(A80,"Change (%)",TRUE)</f>
        <v>-2.7829999999999999E-3</v>
      </c>
      <c r="D80" s="127" cm="1">
        <f t="array" aca="1" ref="D80" ca="1">_FV(A80,"52 week low",TRUE)</f>
        <v>225.95</v>
      </c>
      <c r="E80" s="128" cm="1">
        <f t="array" aca="1" ref="E80" ca="1">_FV(A80,"52 week high",TRUE)</f>
        <v>344.56990000000002</v>
      </c>
    </row>
    <row r="81" spans="1:9">
      <c r="A81" s="125" t="e" vm="18">
        <v>#VALUE!</v>
      </c>
      <c r="B81" s="136" cm="1">
        <f t="array" aca="1" ref="B81" ca="1">_FV(A81,"Price")</f>
        <v>393.06</v>
      </c>
      <c r="C81" s="126" cm="1">
        <f t="array" aca="1" ref="C81" ca="1">_FV(A81,"Change (%)",TRUE)</f>
        <v>-1.9408999999999999E-2</v>
      </c>
      <c r="D81" s="127" cm="1">
        <f t="array" aca="1" ref="D81" ca="1">_FV(A81,"52 week low",TRUE)</f>
        <v>255.965</v>
      </c>
      <c r="E81" s="128" cm="1">
        <f t="array" aca="1" ref="E81" ca="1">_FV(A81,"52 week high",TRUE)</f>
        <v>461.62</v>
      </c>
    </row>
    <row r="82" spans="1:9" ht="18" customHeight="1">
      <c r="A82" s="125" t="e" vm="19">
        <v>#VALUE!</v>
      </c>
      <c r="B82" s="136" cm="1">
        <f t="array" aca="1" ref="B82" ca="1">_FV(A82,"Price")</f>
        <v>45.37</v>
      </c>
      <c r="C82" s="126" cm="1">
        <f t="array" aca="1" ref="C82" ca="1">_FV(A82,"Change (%)",TRUE)</f>
        <v>-3.3241E-2</v>
      </c>
      <c r="D82" s="127" cm="1">
        <f t="array" aca="1" ref="D82" ca="1">_FV(A82,"52 week low",TRUE)</f>
        <v>27.05</v>
      </c>
      <c r="E82" s="128" cm="1">
        <f t="array" aca="1" ref="E82" ca="1">_FV(A82,"52 week high",TRUE)</f>
        <v>76.87</v>
      </c>
    </row>
    <row r="83" spans="1:9">
      <c r="A83" s="125" t="e" vm="20">
        <v>#VALUE!</v>
      </c>
      <c r="B83" s="136" cm="1">
        <f t="array" aca="1" ref="B83" ca="1">_FV(A83,"Price")</f>
        <v>207.8</v>
      </c>
      <c r="C83" s="126" cm="1">
        <f t="array" aca="1" ref="C83" ca="1">_FV(A83,"Change (%)",TRUE)</f>
        <v>-1.057E-2</v>
      </c>
      <c r="D83" s="127" cm="1">
        <f t="array" aca="1" ref="D83" ca="1">_FV(A83,"52 week low",TRUE)</f>
        <v>85.68</v>
      </c>
      <c r="E83" s="128" cm="1">
        <f t="array" aca="1" ref="E83" ca="1">_FV(A83,"52 week high",TRUE)</f>
        <v>233.88</v>
      </c>
    </row>
    <row r="84" spans="1:9">
      <c r="A84" s="125" t="e" vm="21">
        <v>#VALUE!</v>
      </c>
      <c r="B84" s="136" cm="1">
        <f t="array" aca="1" ref="B84" ca="1">_FV(A84,"Price")</f>
        <v>169.53</v>
      </c>
      <c r="C84" s="126" cm="1">
        <f t="array" aca="1" ref="C84" ca="1">_FV(A84,"Change (%)",TRUE)</f>
        <v>-4.5209999999999998E-3</v>
      </c>
      <c r="D84" s="127" cm="1">
        <f t="array" aca="1" ref="D84" ca="1">_FV(A84,"52 week low",TRUE)</f>
        <v>106.37</v>
      </c>
      <c r="E84" s="128" cm="1">
        <f t="array" aca="1" ref="E84" ca="1">_FV(A84,"52 week high",TRUE)</f>
        <v>207.52</v>
      </c>
    </row>
    <row r="85" spans="1:9">
      <c r="A85" s="125" t="e" vm="22">
        <v>#VALUE!</v>
      </c>
      <c r="B85" s="136" cm="1">
        <f t="array" aca="1" ref="B85" ca="1">_FV(A85,"Price")</f>
        <v>6.48</v>
      </c>
      <c r="C85" s="126" cm="1">
        <f t="array" aca="1" ref="C85" ca="1">_FV(A85,"Change (%)",TRUE)</f>
        <v>-1.3698999999999999E-2</v>
      </c>
      <c r="D85" s="127" cm="1">
        <f t="array" aca="1" ref="D85" ca="1">_FV(A85,"52 week low",TRUE)</f>
        <v>5.6501000000000001</v>
      </c>
      <c r="E85" s="128" cm="1">
        <f t="array" aca="1" ref="E85" ca="1">_FV(A85,"52 week high",TRUE)</f>
        <v>22.17</v>
      </c>
    </row>
    <row r="86" spans="1:9">
      <c r="A86" s="125" t="e" vm="23">
        <v>#VALUE!</v>
      </c>
      <c r="B86" s="136" cm="1">
        <f t="array" aca="1" ref="B86" ca="1">_FV(A86,"Price")</f>
        <v>521.09500000000003</v>
      </c>
      <c r="C86" s="126" cm="1">
        <f t="array" aca="1" ref="C86" ca="1">_FV(A86,"Change (%)",TRUE)</f>
        <v>3.0360999999999999E-2</v>
      </c>
      <c r="D86" s="127" cm="1">
        <f t="array" aca="1" ref="D86" ca="1">_FV(A86,"52 week low",TRUE)</f>
        <v>149.85</v>
      </c>
      <c r="E86" s="128" cm="1">
        <f t="array" aca="1" ref="E86" ca="1">_FV(A86,"52 week high",TRUE)</f>
        <v>584.73</v>
      </c>
    </row>
    <row r="87" spans="1:9" ht="16.5" customHeight="1">
      <c r="A87" s="125" t="e" vm="24">
        <v>#VALUE!</v>
      </c>
      <c r="B87" s="136" cm="1">
        <f t="array" aca="1" ref="B87" ca="1">_FV(A87,"Price")</f>
        <v>63.07</v>
      </c>
      <c r="C87" s="126" cm="1">
        <f t="array" aca="1" ref="C87" ca="1">_FV(A87,"Change (%)",TRUE)</f>
        <v>-4.2507999999999997E-2</v>
      </c>
      <c r="D87" s="127" cm="1">
        <f t="array" aca="1" ref="D87" ca="1">_FV(A87,"52 week low",TRUE)</f>
        <v>37.57</v>
      </c>
      <c r="E87" s="128" cm="1">
        <f t="array" aca="1" ref="E87" ca="1">_FV(A87,"52 week high",TRUE)</f>
        <v>150.9999</v>
      </c>
    </row>
    <row r="88" spans="1:9">
      <c r="A88" s="125" t="e" vm="25">
        <v>#VALUE!</v>
      </c>
      <c r="B88" s="136" cm="1">
        <f t="array" aca="1" ref="B88" ca="1">_FV(A88,"Price")</f>
        <v>78114.09</v>
      </c>
      <c r="C88" s="126" cm="1">
        <f t="array" aca="1" ref="C88" ca="1">_FV(A88,"Change (%)",TRUE)</f>
        <v>-2.6740000000000002E-3</v>
      </c>
      <c r="D88" s="127" cm="1">
        <f t="array" aca="1" ref="D88" ca="1">_FV(A88,"52 week low",TRUE)</f>
        <v>57775.79</v>
      </c>
      <c r="E88" s="128" cm="1">
        <f t="array" aca="1" ref="E88" ca="1">_FV(A88,"52 week high",TRUE)</f>
        <v>126223.18</v>
      </c>
    </row>
    <row r="89" spans="1:9">
      <c r="A89" s="125" t="e" vm="26">
        <v>#VALUE!</v>
      </c>
      <c r="B89" s="136" cm="1">
        <f t="array" aca="1" ref="B89" ca="1">_FV(A89,"Price")</f>
        <v>2472.58</v>
      </c>
      <c r="C89" s="126" cm="1">
        <f t="array" aca="1" ref="C89" ca="1">_FV(A89,"Change (%)",TRUE)</f>
        <v>3.5200000000000005E-4</v>
      </c>
      <c r="D89" s="127" cm="1">
        <f t="array" aca="1" ref="D89" ca="1">_FV(A89,"52 week low",TRUE)</f>
        <v>1506.93</v>
      </c>
      <c r="E89" s="128" cm="1">
        <f t="array" aca="1" ref="E89" ca="1">_FV(A89,"52 week high",TRUE)</f>
        <v>4764.1899999999996</v>
      </c>
    </row>
    <row r="90" spans="1:9" ht="15.75" thickBot="1">
      <c r="A90" s="129" t="e" vm="27">
        <v>#VALUE!</v>
      </c>
      <c r="B90" s="130" cm="1">
        <f t="array" aca="1" ref="B90" ca="1">_FV(A90,"Price")</f>
        <v>95.34</v>
      </c>
      <c r="C90" s="131" cm="1">
        <f t="array" aca="1" ref="C90" ca="1">_FV(A90,"Change (%)",TRUE)</f>
        <v>2.5240000000000002E-3</v>
      </c>
      <c r="D90" s="132" cm="1">
        <f t="array" aca="1" ref="D90" ca="1">_FV(A90,"52 week low",TRUE)</f>
        <v>87.597999999999999</v>
      </c>
      <c r="E90" s="133" cm="1">
        <f t="array" aca="1" ref="E90" ca="1">_FV(A90,"52 week high",TRUE)</f>
        <v>96.96</v>
      </c>
    </row>
    <row r="91" spans="1:9">
      <c r="B91"/>
      <c r="C91"/>
      <c r="D91"/>
    </row>
    <row r="92" spans="1:9">
      <c r="C92"/>
      <c r="D92"/>
      <c r="I92" s="162"/>
    </row>
    <row r="93" spans="1:9" ht="15.75">
      <c r="A93" s="18" t="s">
        <v>86</v>
      </c>
      <c r="B93" s="19" t="s">
        <v>87</v>
      </c>
      <c r="C93"/>
      <c r="D93"/>
    </row>
    <row r="94" spans="1:9" ht="15.75">
      <c r="A94" s="47" t="s">
        <v>88</v>
      </c>
      <c r="B94" s="151">
        <f ca="1">SUM(F8:F9)/SUM(F3:F58)</f>
        <v>3.5249072784417967E-2</v>
      </c>
      <c r="C94"/>
      <c r="D94"/>
    </row>
    <row r="95" spans="1:9" ht="15.75">
      <c r="A95" s="47" t="s">
        <v>89</v>
      </c>
      <c r="B95" s="152">
        <f ca="1">SUM(F18:F19)/SUM(F3:F58)</f>
        <v>3.7241415548543759E-2</v>
      </c>
      <c r="C95"/>
      <c r="D95"/>
    </row>
    <row r="96" spans="1:9" ht="15.75">
      <c r="A96" s="137" t="s">
        <v>90</v>
      </c>
      <c r="B96" s="153">
        <f ca="1">SUM(F3:F6,F10:F15,F21)/SUM(F3:F58)</f>
        <v>0.13835969854907654</v>
      </c>
      <c r="C96"/>
      <c r="D96"/>
    </row>
    <row r="97" spans="1:4" ht="15.75">
      <c r="A97" s="157" t="s">
        <v>91</v>
      </c>
      <c r="B97" s="154">
        <f ca="1">SUM(F24:F28)/SUM(F3:F58)</f>
        <v>8.0630470134397378E-2</v>
      </c>
    </row>
    <row r="98" spans="1:4" ht="15.75">
      <c r="A98" s="156" t="s">
        <v>92</v>
      </c>
      <c r="B98" s="155">
        <f ca="1">SUM(F29:F53)/SUM(F3:F58)</f>
        <v>0.41721477387567846</v>
      </c>
    </row>
    <row r="99" spans="1:4" ht="15.75">
      <c r="A99" s="33" t="s">
        <v>75</v>
      </c>
      <c r="B99" s="155">
        <f ca="1">SUM(F56:F58)/SUM(F3:F58)</f>
        <v>1.5400895491658892E-2</v>
      </c>
      <c r="C99"/>
      <c r="D99"/>
    </row>
    <row r="100" spans="1:4">
      <c r="C100"/>
      <c r="D100"/>
    </row>
    <row r="101" spans="1:4">
      <c r="C101"/>
      <c r="D101"/>
    </row>
    <row r="102" spans="1:4">
      <c r="C102"/>
      <c r="D102"/>
    </row>
  </sheetData>
  <conditionalFormatting sqref="C64:C90">
    <cfRule type="cellIs" dxfId="3" priority="5" operator="greaterThan">
      <formula>0</formula>
    </cfRule>
    <cfRule type="cellIs" dxfId="2" priority="6" operator="lessThan">
      <formula>0</formula>
    </cfRule>
  </conditionalFormatting>
  <conditionalFormatting sqref="D16 D8:D13">
    <cfRule type="timePeriod" dxfId="1" priority="2" timePeriod="thisMonth">
      <formula>AND(MONTH(D8)=MONTH(TODAY()),YEAR(D8)=YEAR(TODAY()))</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E038D-5C24-47C4-9140-C7ED4C3B8331}">
  <dimension ref="A1:Q27"/>
  <sheetViews>
    <sheetView workbookViewId="0">
      <selection activeCell="I26" sqref="I26"/>
    </sheetView>
  </sheetViews>
  <sheetFormatPr defaultRowHeight="15"/>
  <cols>
    <col min="1" max="1" width="3" bestFit="1" customWidth="1"/>
    <col min="2" max="2" width="24.85546875" customWidth="1"/>
    <col min="3" max="3" width="19" customWidth="1"/>
    <col min="4" max="4" width="7.42578125" customWidth="1"/>
    <col min="5" max="5" width="12.28515625" bestFit="1" customWidth="1"/>
    <col min="6" max="6" width="14.85546875" customWidth="1"/>
    <col min="7" max="7" width="13.140625" customWidth="1"/>
    <col min="8" max="8" width="13.85546875" customWidth="1"/>
    <col min="9" max="9" width="14.7109375" customWidth="1"/>
    <col min="10" max="10" width="14" customWidth="1"/>
    <col min="11" max="11" width="14.85546875" customWidth="1"/>
    <col min="12" max="12" width="13.85546875" customWidth="1"/>
    <col min="13" max="13" width="14.140625" customWidth="1"/>
    <col min="14" max="14" width="13.7109375" customWidth="1"/>
    <col min="15" max="15" width="13.5703125" customWidth="1"/>
    <col min="16" max="18" width="20.28515625" bestFit="1" customWidth="1"/>
  </cols>
  <sheetData>
    <row r="1" spans="1:17" ht="25.5">
      <c r="A1" s="236" t="s">
        <v>189</v>
      </c>
      <c r="B1" s="168" t="s">
        <v>192</v>
      </c>
      <c r="C1" s="169" t="s">
        <v>93</v>
      </c>
      <c r="E1" s="88" t="s">
        <v>94</v>
      </c>
      <c r="F1" s="89" t="s">
        <v>95</v>
      </c>
      <c r="G1" s="89" t="s">
        <v>96</v>
      </c>
      <c r="H1" s="89" t="s">
        <v>97</v>
      </c>
      <c r="I1" s="89" t="s">
        <v>98</v>
      </c>
      <c r="J1" s="90" t="s">
        <v>99</v>
      </c>
      <c r="K1" s="90" t="s">
        <v>100</v>
      </c>
      <c r="L1" s="90" t="s">
        <v>101</v>
      </c>
      <c r="M1" s="90" t="s">
        <v>102</v>
      </c>
      <c r="N1" s="90" t="s">
        <v>103</v>
      </c>
      <c r="O1" s="90" t="s">
        <v>104</v>
      </c>
    </row>
    <row r="2" spans="1:17">
      <c r="A2" s="237"/>
      <c r="B2" s="167" t="s">
        <v>80</v>
      </c>
      <c r="C2" s="170">
        <v>50000</v>
      </c>
      <c r="E2" s="223">
        <f ca="1">Savings!F59</f>
        <v>19497946.863699999</v>
      </c>
      <c r="F2" s="91">
        <f ca="1">E2+(C9*2)</f>
        <v>20012946.863699999</v>
      </c>
      <c r="G2" s="91">
        <f ca="1">F2+(C9*12)</f>
        <v>23102946.863699999</v>
      </c>
      <c r="H2" s="92">
        <f ca="1">G2+(C9*12)</f>
        <v>26192946.863699999</v>
      </c>
      <c r="I2" s="91">
        <f ca="1">H2+(C9*12)</f>
        <v>29282946.863699999</v>
      </c>
      <c r="J2" s="231">
        <f ca="1">I2+(C9*12)</f>
        <v>32372946.863699999</v>
      </c>
      <c r="K2" s="93">
        <f ca="1">J2+(C9*12)</f>
        <v>35462946.863700002</v>
      </c>
      <c r="L2" s="93">
        <f ca="1">K2+(C9*12)</f>
        <v>38552946.863700002</v>
      </c>
      <c r="M2" s="93">
        <f ca="1">L2+(C9*12)</f>
        <v>41642946.863700002</v>
      </c>
      <c r="N2" s="93">
        <f ca="1">M2+(C9*12)</f>
        <v>44732946.863700002</v>
      </c>
      <c r="O2" s="93">
        <f ca="1">N2+(C9*12)</f>
        <v>47822946.863700002</v>
      </c>
    </row>
    <row r="3" spans="1:17">
      <c r="A3" s="237"/>
      <c r="B3" s="123" t="s">
        <v>105</v>
      </c>
      <c r="C3" s="100">
        <v>12500</v>
      </c>
    </row>
    <row r="4" spans="1:17">
      <c r="A4" s="237"/>
      <c r="B4" s="123" t="s">
        <v>106</v>
      </c>
      <c r="C4" s="100">
        <v>10000</v>
      </c>
    </row>
    <row r="5" spans="1:17">
      <c r="A5" s="237"/>
      <c r="B5" s="123" t="s">
        <v>107</v>
      </c>
      <c r="C5" s="101">
        <v>100000</v>
      </c>
      <c r="Q5" s="145"/>
    </row>
    <row r="6" spans="1:17" ht="15.75" customHeight="1">
      <c r="A6" s="237"/>
      <c r="B6" s="123" t="s">
        <v>195</v>
      </c>
      <c r="C6" s="101">
        <v>35000</v>
      </c>
      <c r="Q6" s="145"/>
    </row>
    <row r="7" spans="1:17">
      <c r="A7" s="237"/>
      <c r="B7" s="123" t="s">
        <v>191</v>
      </c>
      <c r="C7" s="101">
        <v>30000</v>
      </c>
      <c r="F7" s="146"/>
    </row>
    <row r="8" spans="1:17">
      <c r="A8" s="237"/>
      <c r="B8" s="124" t="s">
        <v>108</v>
      </c>
      <c r="C8" s="102">
        <v>20000</v>
      </c>
    </row>
    <row r="9" spans="1:17">
      <c r="A9" s="238"/>
      <c r="B9" s="122" t="s">
        <v>109</v>
      </c>
      <c r="C9" s="161">
        <f>SUM(C2:C8)</f>
        <v>257500</v>
      </c>
    </row>
    <row r="11" spans="1:17" ht="25.5">
      <c r="A11" s="239" t="s">
        <v>190</v>
      </c>
      <c r="B11" s="222" t="s">
        <v>192</v>
      </c>
      <c r="C11" s="169" t="s">
        <v>93</v>
      </c>
      <c r="E11" s="88" t="s">
        <v>94</v>
      </c>
      <c r="F11" s="89" t="s">
        <v>169</v>
      </c>
      <c r="G11" s="89" t="s">
        <v>170</v>
      </c>
      <c r="H11" s="89" t="s">
        <v>171</v>
      </c>
      <c r="I11" s="89" t="s">
        <v>172</v>
      </c>
      <c r="J11" s="90" t="s">
        <v>173</v>
      </c>
      <c r="K11" s="90" t="s">
        <v>174</v>
      </c>
      <c r="L11" s="90" t="s">
        <v>175</v>
      </c>
      <c r="M11" s="90" t="s">
        <v>176</v>
      </c>
      <c r="N11" s="90" t="s">
        <v>177</v>
      </c>
      <c r="O11" s="90" t="s">
        <v>178</v>
      </c>
    </row>
    <row r="12" spans="1:17">
      <c r="A12" s="240"/>
      <c r="B12" s="167" t="s">
        <v>80</v>
      </c>
      <c r="C12" s="170">
        <v>30000</v>
      </c>
      <c r="E12" s="223">
        <v>2094570.9164794413</v>
      </c>
      <c r="F12" s="91">
        <v>2183570.9164794413</v>
      </c>
      <c r="G12" s="91">
        <v>2717570.9164794413</v>
      </c>
      <c r="H12" s="92">
        <v>3251570.9164794413</v>
      </c>
      <c r="I12" s="91">
        <v>3785570.9164794413</v>
      </c>
      <c r="J12" s="231">
        <v>4319570.9164794413</v>
      </c>
      <c r="K12" s="93">
        <v>4853570.9164794413</v>
      </c>
      <c r="L12" s="93">
        <v>5387570.9164794413</v>
      </c>
      <c r="M12" s="93">
        <v>5921570.9164794413</v>
      </c>
      <c r="N12" s="93">
        <v>6455570.9164794413</v>
      </c>
      <c r="O12" s="93">
        <v>6989570.9164794413</v>
      </c>
    </row>
    <row r="13" spans="1:17">
      <c r="A13" s="240"/>
      <c r="B13" s="123" t="s">
        <v>105</v>
      </c>
      <c r="C13" s="100">
        <v>12500</v>
      </c>
    </row>
    <row r="14" spans="1:17">
      <c r="A14" s="240"/>
      <c r="B14" s="123" t="s">
        <v>106</v>
      </c>
      <c r="C14" s="100">
        <v>0</v>
      </c>
    </row>
    <row r="15" spans="1:17">
      <c r="A15" s="240"/>
      <c r="B15" s="230" t="s">
        <v>107</v>
      </c>
      <c r="C15" s="209">
        <v>75000</v>
      </c>
    </row>
    <row r="16" spans="1:17">
      <c r="A16" s="240"/>
      <c r="B16" s="160" t="s">
        <v>108</v>
      </c>
      <c r="C16" s="101">
        <v>10000</v>
      </c>
    </row>
    <row r="17" spans="1:7">
      <c r="A17" s="241"/>
      <c r="B17" s="122" t="s">
        <v>109</v>
      </c>
      <c r="C17" s="161">
        <v>44500</v>
      </c>
    </row>
    <row r="19" spans="1:7">
      <c r="A19" s="242" t="s">
        <v>110</v>
      </c>
      <c r="B19" s="224" t="s">
        <v>193</v>
      </c>
      <c r="C19" s="225" t="s">
        <v>194</v>
      </c>
    </row>
    <row r="20" spans="1:7">
      <c r="A20" s="243"/>
      <c r="B20" s="228">
        <f ca="1">E2*0.6</f>
        <v>11698768.11822</v>
      </c>
      <c r="C20" s="229">
        <v>1256742.5498876648</v>
      </c>
    </row>
    <row r="21" spans="1:7">
      <c r="A21" s="244"/>
      <c r="B21" s="226" t="s">
        <v>111</v>
      </c>
      <c r="C21" s="227">
        <f ca="1">SUM(B20:C20)</f>
        <v>12955510.668107664</v>
      </c>
    </row>
    <row r="25" spans="1:7" ht="15" customHeight="1"/>
    <row r="26" spans="1:7">
      <c r="D26" s="138"/>
      <c r="E26" s="138"/>
    </row>
    <row r="27" spans="1:7">
      <c r="D27" s="138"/>
      <c r="E27" s="138"/>
      <c r="F27" s="139"/>
      <c r="G27" s="15"/>
    </row>
  </sheetData>
  <mergeCells count="3">
    <mergeCell ref="A1:A9"/>
    <mergeCell ref="A11:A17"/>
    <mergeCell ref="A19:A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E2B5-F48F-4343-A1B3-24AA45843E26}">
  <dimension ref="A1:J23"/>
  <sheetViews>
    <sheetView workbookViewId="0">
      <selection activeCell="I24" sqref="I24"/>
    </sheetView>
  </sheetViews>
  <sheetFormatPr defaultRowHeight="15"/>
  <cols>
    <col min="1" max="1" width="28.140625" customWidth="1"/>
    <col min="2" max="2" width="10.42578125" bestFit="1" customWidth="1"/>
    <col min="3" max="3" width="18.140625" bestFit="1" customWidth="1"/>
    <col min="4" max="4" width="19.85546875" customWidth="1"/>
    <col min="5" max="5" width="14.28515625" bestFit="1" customWidth="1"/>
    <col min="6" max="6" width="19.42578125" customWidth="1"/>
    <col min="7" max="7" width="10.140625" bestFit="1" customWidth="1"/>
    <col min="8" max="8" width="10.28515625" bestFit="1" customWidth="1"/>
    <col min="9" max="10" width="15.42578125" customWidth="1"/>
    <col min="11" max="11" width="12.28515625" customWidth="1"/>
  </cols>
  <sheetData>
    <row r="1" spans="1:10" ht="30" customHeight="1">
      <c r="A1" s="181" t="s">
        <v>112</v>
      </c>
      <c r="B1" s="182" t="s">
        <v>93</v>
      </c>
      <c r="C1" s="158" t="s">
        <v>113</v>
      </c>
      <c r="D1" s="164" t="s">
        <v>114</v>
      </c>
      <c r="E1" s="164" t="s">
        <v>115</v>
      </c>
      <c r="F1" s="164" t="s">
        <v>116</v>
      </c>
      <c r="G1" s="159" t="s">
        <v>117</v>
      </c>
      <c r="H1" s="163" t="s">
        <v>118</v>
      </c>
      <c r="I1" s="194" t="s">
        <v>119</v>
      </c>
    </row>
    <row r="2" spans="1:10" ht="15" customHeight="1">
      <c r="A2" s="188" t="s">
        <v>120</v>
      </c>
      <c r="B2" s="189">
        <f>2900*12</f>
        <v>34800</v>
      </c>
      <c r="C2" s="190" t="s">
        <v>121</v>
      </c>
      <c r="D2" s="191" t="s">
        <v>9</v>
      </c>
      <c r="E2" s="234" t="s">
        <v>9</v>
      </c>
      <c r="F2" s="250" t="s">
        <v>122</v>
      </c>
      <c r="G2" s="256" t="s">
        <v>9</v>
      </c>
      <c r="H2" s="252" t="s">
        <v>9</v>
      </c>
      <c r="I2" s="245">
        <f>SUM(D4,D6:D8)</f>
        <v>9143</v>
      </c>
    </row>
    <row r="3" spans="1:10" ht="15" customHeight="1">
      <c r="A3" s="192" t="s">
        <v>123</v>
      </c>
      <c r="B3" s="193">
        <v>9800</v>
      </c>
      <c r="C3" s="195" t="s">
        <v>121</v>
      </c>
      <c r="D3" s="195" t="s">
        <v>9</v>
      </c>
      <c r="E3" s="235" t="s">
        <v>9</v>
      </c>
      <c r="F3" s="251"/>
      <c r="G3" s="257"/>
      <c r="H3" s="253"/>
      <c r="I3" s="246"/>
    </row>
    <row r="4" spans="1:10" ht="15" customHeight="1">
      <c r="A4" s="196" t="s">
        <v>124</v>
      </c>
      <c r="B4" s="197">
        <v>15000</v>
      </c>
      <c r="C4" s="198" t="s">
        <v>125</v>
      </c>
      <c r="D4" s="199">
        <v>2234</v>
      </c>
      <c r="E4" s="200">
        <v>46433</v>
      </c>
      <c r="F4" s="248" t="s">
        <v>126</v>
      </c>
      <c r="G4" s="258">
        <v>46425</v>
      </c>
      <c r="H4" s="254">
        <v>11</v>
      </c>
      <c r="I4" s="246"/>
    </row>
    <row r="5" spans="1:10" ht="15" customHeight="1">
      <c r="A5" s="204" t="s">
        <v>127</v>
      </c>
      <c r="B5" s="205">
        <v>12500</v>
      </c>
      <c r="C5" s="211" t="s">
        <v>128</v>
      </c>
      <c r="D5" s="211" t="s">
        <v>129</v>
      </c>
      <c r="E5" s="212">
        <v>46447</v>
      </c>
      <c r="F5" s="249"/>
      <c r="G5" s="259"/>
      <c r="H5" s="255"/>
      <c r="I5" s="246"/>
    </row>
    <row r="6" spans="1:10" ht="15.75" customHeight="1">
      <c r="A6" s="201" t="s">
        <v>130</v>
      </c>
      <c r="B6" s="189">
        <v>21000</v>
      </c>
      <c r="C6" s="202" t="s">
        <v>131</v>
      </c>
      <c r="D6" s="206">
        <v>1566</v>
      </c>
      <c r="E6" s="203">
        <v>46126</v>
      </c>
      <c r="F6" s="207" t="s">
        <v>126</v>
      </c>
      <c r="G6" s="207">
        <v>46479</v>
      </c>
      <c r="H6" s="208">
        <v>12</v>
      </c>
      <c r="I6" s="246"/>
    </row>
    <row r="7" spans="1:10" ht="15" customHeight="1">
      <c r="A7" s="175" t="s">
        <v>132</v>
      </c>
      <c r="B7" s="12">
        <v>15000</v>
      </c>
      <c r="C7" s="176" t="s">
        <v>133</v>
      </c>
      <c r="D7" s="177">
        <v>901</v>
      </c>
      <c r="E7" s="178">
        <v>46569</v>
      </c>
      <c r="F7" s="179" t="s">
        <v>126</v>
      </c>
      <c r="G7" s="180">
        <v>46570</v>
      </c>
      <c r="H7" s="209">
        <v>15</v>
      </c>
      <c r="I7" s="246"/>
    </row>
    <row r="8" spans="1:10" ht="15" customHeight="1">
      <c r="A8" s="192" t="s">
        <v>134</v>
      </c>
      <c r="B8" s="193">
        <v>50000</v>
      </c>
      <c r="C8" s="183" t="s">
        <v>135</v>
      </c>
      <c r="D8" s="184">
        <v>4442</v>
      </c>
      <c r="E8" s="185">
        <v>46569</v>
      </c>
      <c r="F8" s="186" t="s">
        <v>126</v>
      </c>
      <c r="G8" s="187">
        <v>46570</v>
      </c>
      <c r="H8" s="210">
        <v>11</v>
      </c>
      <c r="I8" s="247"/>
    </row>
    <row r="9" spans="1:10">
      <c r="B9" s="9"/>
      <c r="C9" s="9"/>
      <c r="D9" s="9"/>
    </row>
    <row r="14" spans="1:10">
      <c r="G14" s="172"/>
      <c r="H14" s="172"/>
      <c r="I14" s="172"/>
      <c r="J14" s="172"/>
    </row>
    <row r="15" spans="1:10">
      <c r="G15" s="172"/>
      <c r="H15" s="172"/>
      <c r="I15" s="172"/>
      <c r="J15" s="172"/>
    </row>
    <row r="16" spans="1:10">
      <c r="G16" s="172"/>
      <c r="H16" s="172"/>
      <c r="I16" s="172"/>
      <c r="J16" s="172"/>
    </row>
    <row r="17" spans="7:10">
      <c r="G17" s="172"/>
      <c r="H17" s="172"/>
      <c r="I17" s="172"/>
      <c r="J17" s="172"/>
    </row>
    <row r="19" spans="7:10">
      <c r="G19" s="172"/>
      <c r="H19" s="172"/>
      <c r="I19" s="172"/>
      <c r="J19" s="172"/>
    </row>
    <row r="20" spans="7:10">
      <c r="G20" s="172"/>
      <c r="H20" s="172"/>
      <c r="I20" s="172"/>
      <c r="J20" s="172"/>
    </row>
    <row r="21" spans="7:10">
      <c r="G21" s="172"/>
      <c r="H21" s="172"/>
      <c r="I21" s="172"/>
      <c r="J21" s="172"/>
    </row>
    <row r="23" spans="7:10" ht="21" customHeight="1"/>
  </sheetData>
  <mergeCells count="7">
    <mergeCell ref="I2:I8"/>
    <mergeCell ref="F4:F5"/>
    <mergeCell ref="F2:F3"/>
    <mergeCell ref="H2:H3"/>
    <mergeCell ref="H4:H5"/>
    <mergeCell ref="G2:G3"/>
    <mergeCell ref="G4:G5"/>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A634-F71D-440C-A2AF-75B56885B2E4}">
  <dimension ref="A1:E30"/>
  <sheetViews>
    <sheetView workbookViewId="0">
      <selection activeCell="N12" sqref="N12"/>
    </sheetView>
  </sheetViews>
  <sheetFormatPr defaultRowHeight="15"/>
  <cols>
    <col min="1" max="1" width="27.140625" bestFit="1" customWidth="1"/>
    <col min="2" max="2" width="10.85546875" bestFit="1" customWidth="1"/>
    <col min="3" max="3" width="15.7109375" customWidth="1"/>
    <col min="4" max="4" width="20.140625" bestFit="1" customWidth="1"/>
    <col min="8" max="8" width="19.7109375" bestFit="1" customWidth="1"/>
    <col min="9" max="9" width="6.28515625" bestFit="1" customWidth="1"/>
    <col min="10" max="10" width="13.42578125" bestFit="1" customWidth="1"/>
    <col min="11" max="11" width="12.28515625" bestFit="1" customWidth="1"/>
    <col min="12" max="12" width="9.5703125" customWidth="1"/>
    <col min="13" max="13" width="10" bestFit="1" customWidth="1"/>
  </cols>
  <sheetData>
    <row r="1" spans="1:5" ht="63">
      <c r="A1" s="60" t="s">
        <v>112</v>
      </c>
      <c r="B1" s="61" t="s">
        <v>136</v>
      </c>
      <c r="C1" s="61" t="s">
        <v>137</v>
      </c>
      <c r="D1" s="25" t="s">
        <v>138</v>
      </c>
      <c r="E1" s="6" t="s">
        <v>139</v>
      </c>
    </row>
    <row r="2" spans="1:5">
      <c r="A2" s="53" t="s">
        <v>142</v>
      </c>
      <c r="B2" s="54"/>
      <c r="C2" s="54"/>
      <c r="D2" s="55"/>
      <c r="E2" s="8"/>
    </row>
    <row r="3" spans="1:5">
      <c r="A3" s="2" t="s">
        <v>140</v>
      </c>
      <c r="B3" t="s">
        <v>143</v>
      </c>
      <c r="C3" s="11">
        <v>31900</v>
      </c>
      <c r="D3" s="232">
        <f>C3</f>
        <v>31900</v>
      </c>
      <c r="E3" s="262">
        <f>SUM(D3:D5)/B29</f>
        <v>0.11306666666666666</v>
      </c>
    </row>
    <row r="4" spans="1:5">
      <c r="A4" s="2" t="s">
        <v>144</v>
      </c>
      <c r="B4" t="s">
        <v>143</v>
      </c>
      <c r="C4" s="11">
        <v>6500</v>
      </c>
      <c r="D4" s="232">
        <f>C4</f>
        <v>6500</v>
      </c>
      <c r="E4" s="262"/>
    </row>
    <row r="5" spans="1:5">
      <c r="A5" s="2" t="s">
        <v>145</v>
      </c>
      <c r="B5" t="s">
        <v>143</v>
      </c>
      <c r="C5" s="11">
        <v>4000</v>
      </c>
      <c r="D5" s="232">
        <f>C5</f>
        <v>4000</v>
      </c>
      <c r="E5" s="262"/>
    </row>
    <row r="6" spans="1:5">
      <c r="A6" s="7" t="s">
        <v>146</v>
      </c>
      <c r="B6" s="56"/>
      <c r="C6" s="166"/>
      <c r="D6" s="22"/>
      <c r="E6" s="22"/>
    </row>
    <row r="7" spans="1:5">
      <c r="A7" s="2" t="s">
        <v>147</v>
      </c>
      <c r="B7" t="s">
        <v>143</v>
      </c>
      <c r="C7" s="11">
        <v>6500</v>
      </c>
      <c r="D7" s="232">
        <v>6000</v>
      </c>
      <c r="E7" s="262">
        <f>SUM(D7:D8)/B29</f>
        <v>2.1333333333333333E-2</v>
      </c>
    </row>
    <row r="8" spans="1:5">
      <c r="A8" s="2" t="s">
        <v>148</v>
      </c>
      <c r="B8" t="s">
        <v>143</v>
      </c>
      <c r="C8" s="11">
        <v>2000</v>
      </c>
      <c r="D8" s="232">
        <f>C8</f>
        <v>2000</v>
      </c>
      <c r="E8" s="262"/>
    </row>
    <row r="9" spans="1:5">
      <c r="A9" s="7" t="s">
        <v>149</v>
      </c>
      <c r="B9" s="56"/>
      <c r="C9" s="166"/>
      <c r="D9" s="22"/>
      <c r="E9" s="22"/>
    </row>
    <row r="10" spans="1:5">
      <c r="A10" s="2" t="s">
        <v>150</v>
      </c>
      <c r="B10" t="s">
        <v>151</v>
      </c>
      <c r="C10" s="11">
        <v>21000</v>
      </c>
      <c r="D10" s="260">
        <f>'Fixed Expenses'!I2</f>
        <v>9143</v>
      </c>
      <c r="E10" s="262">
        <f>D10/B29</f>
        <v>2.4381333333333335E-2</v>
      </c>
    </row>
    <row r="11" spans="1:5">
      <c r="A11" s="2" t="s">
        <v>152</v>
      </c>
      <c r="B11" t="s">
        <v>151</v>
      </c>
      <c r="C11" s="11">
        <v>15000</v>
      </c>
      <c r="D11" s="261"/>
      <c r="E11" s="262"/>
    </row>
    <row r="12" spans="1:5">
      <c r="A12" s="2" t="s">
        <v>153</v>
      </c>
      <c r="B12" t="s">
        <v>151</v>
      </c>
      <c r="C12" s="11">
        <v>12500</v>
      </c>
      <c r="D12" s="261"/>
      <c r="E12" s="262"/>
    </row>
    <row r="13" spans="1:5">
      <c r="A13" s="2" t="s">
        <v>154</v>
      </c>
      <c r="B13" t="s">
        <v>151</v>
      </c>
      <c r="C13" s="11">
        <f>15000+1500</f>
        <v>16500</v>
      </c>
      <c r="D13" s="261"/>
      <c r="E13" s="262"/>
    </row>
    <row r="14" spans="1:5">
      <c r="A14" s="7" t="s">
        <v>155</v>
      </c>
      <c r="B14" s="56"/>
      <c r="C14" s="166"/>
      <c r="D14" s="22"/>
      <c r="E14" s="22"/>
    </row>
    <row r="15" spans="1:5" ht="15" customHeight="1">
      <c r="A15" s="285" t="s">
        <v>197</v>
      </c>
      <c r="B15" s="282" t="s">
        <v>143</v>
      </c>
      <c r="C15" s="286">
        <f>'Wealth Projection'!C9</f>
        <v>257500</v>
      </c>
      <c r="D15" s="260">
        <f>C15</f>
        <v>257500</v>
      </c>
      <c r="E15" s="264">
        <f>D15/B29</f>
        <v>0.68666666666666665</v>
      </c>
    </row>
    <row r="16" spans="1:5">
      <c r="A16" s="285"/>
      <c r="B16" s="282"/>
      <c r="C16" s="286"/>
      <c r="D16" s="260"/>
      <c r="E16" s="264"/>
    </row>
    <row r="17" spans="1:5">
      <c r="A17" s="285"/>
      <c r="B17" s="282"/>
      <c r="C17" s="286"/>
      <c r="D17" s="260"/>
      <c r="E17" s="264"/>
    </row>
    <row r="18" spans="1:5">
      <c r="A18" s="285"/>
      <c r="B18" s="282"/>
      <c r="C18" s="286"/>
      <c r="D18" s="260"/>
      <c r="E18" s="264"/>
    </row>
    <row r="19" spans="1:5">
      <c r="A19" s="7" t="s">
        <v>156</v>
      </c>
      <c r="B19" s="56"/>
      <c r="C19" s="166"/>
      <c r="D19" s="22"/>
      <c r="E19" s="22"/>
    </row>
    <row r="20" spans="1:5">
      <c r="A20" s="2" t="s">
        <v>157</v>
      </c>
      <c r="B20" t="s">
        <v>158</v>
      </c>
      <c r="C20" s="11">
        <v>25500</v>
      </c>
      <c r="D20" s="232">
        <f>C20/3</f>
        <v>8500</v>
      </c>
      <c r="E20" s="233">
        <f>D20/B29</f>
        <v>2.2666666666666668E-2</v>
      </c>
    </row>
    <row r="21" spans="1:5">
      <c r="A21" s="7" t="s">
        <v>159</v>
      </c>
      <c r="B21" s="56"/>
      <c r="C21" s="166"/>
      <c r="D21" s="22"/>
      <c r="E21" s="22"/>
    </row>
    <row r="22" spans="1:5">
      <c r="A22" s="2" t="s">
        <v>160</v>
      </c>
      <c r="B22" t="s">
        <v>143</v>
      </c>
      <c r="C22" s="9">
        <v>2500</v>
      </c>
      <c r="D22" s="21">
        <f>C22</f>
        <v>2500</v>
      </c>
      <c r="E22" s="262">
        <f>SUM(D22:D24)/Husband_Expenses!B29</f>
        <v>2.6666666666666668E-2</v>
      </c>
    </row>
    <row r="23" spans="1:5">
      <c r="A23" s="2" t="s">
        <v>161</v>
      </c>
      <c r="B23" t="s">
        <v>143</v>
      </c>
      <c r="C23" s="9">
        <v>2500</v>
      </c>
      <c r="D23" s="21">
        <f>C23</f>
        <v>2500</v>
      </c>
      <c r="E23" s="262"/>
    </row>
    <row r="24" spans="1:5" ht="15.75" thickBot="1">
      <c r="A24" s="57" t="s">
        <v>162</v>
      </c>
      <c r="B24" s="58" t="s">
        <v>143</v>
      </c>
      <c r="C24" s="14">
        <v>5000</v>
      </c>
      <c r="D24" s="59">
        <f>C24</f>
        <v>5000</v>
      </c>
      <c r="E24" s="263"/>
    </row>
    <row r="25" spans="1:5" ht="16.5" thickBot="1">
      <c r="A25" s="62" t="s">
        <v>163</v>
      </c>
      <c r="B25" s="63"/>
      <c r="C25" s="63"/>
      <c r="D25" s="64">
        <f>SUM(D3:D24)</f>
        <v>335543</v>
      </c>
      <c r="E25" s="165">
        <f>SUM(E3:E24)</f>
        <v>0.89478133333333321</v>
      </c>
    </row>
    <row r="28" spans="1:5" ht="16.5" thickBot="1">
      <c r="A28" s="95" t="s">
        <v>164</v>
      </c>
      <c r="B28" s="96" t="s">
        <v>93</v>
      </c>
      <c r="C28" s="65" t="s">
        <v>165</v>
      </c>
      <c r="D28" s="24" t="s">
        <v>166</v>
      </c>
    </row>
    <row r="29" spans="1:5" ht="15.75">
      <c r="A29" s="97" t="s">
        <v>167</v>
      </c>
      <c r="B29" s="293">
        <v>375000</v>
      </c>
      <c r="C29" s="98" t="s">
        <v>17</v>
      </c>
      <c r="D29" s="99">
        <v>1</v>
      </c>
    </row>
    <row r="30" spans="1:5" ht="15.75">
      <c r="A30" s="23" t="s">
        <v>168</v>
      </c>
      <c r="B30" s="94">
        <f>B29-Husband_Expenses!D25</f>
        <v>39457</v>
      </c>
      <c r="C30" s="94" t="s">
        <v>17</v>
      </c>
      <c r="D30" s="26">
        <f>Table3[[#This Row],[Amount]]/B29</f>
        <v>0.10521866666666667</v>
      </c>
    </row>
  </sheetData>
  <mergeCells count="10">
    <mergeCell ref="B15:B18"/>
    <mergeCell ref="A15:A18"/>
    <mergeCell ref="C15:C18"/>
    <mergeCell ref="D15:D18"/>
    <mergeCell ref="D10:D13"/>
    <mergeCell ref="E3:E5"/>
    <mergeCell ref="E22:E24"/>
    <mergeCell ref="E7:E8"/>
    <mergeCell ref="E10:E13"/>
    <mergeCell ref="E15:E18"/>
  </mergeCells>
  <dataValidations disablePrompts="1" count="1">
    <dataValidation type="list" allowBlank="1" showInputMessage="1" showErrorMessage="1" sqref="B20 B22:B24 B3:B13 B15" xr:uid="{5981B611-65FB-4B38-BB82-960C11BC609E}">
      <formula1>"Monthly,Weekly,Yearly,Quarterly,Temporary,Emergency,Unknown"</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9C508-AE87-4952-87F3-57CF6D658306}">
  <dimension ref="A1:E31"/>
  <sheetViews>
    <sheetView workbookViewId="0">
      <selection activeCell="L13" sqref="L13"/>
    </sheetView>
  </sheetViews>
  <sheetFormatPr defaultRowHeight="15"/>
  <cols>
    <col min="1" max="1" width="25.85546875" bestFit="1" customWidth="1"/>
    <col min="2" max="2" width="13" bestFit="1" customWidth="1"/>
    <col min="3" max="3" width="16" bestFit="1" customWidth="1"/>
    <col min="4" max="4" width="15.7109375" customWidth="1"/>
    <col min="5" max="5" width="16.7109375" bestFit="1" customWidth="1"/>
  </cols>
  <sheetData>
    <row r="1" spans="1:5" ht="32.25" customHeight="1">
      <c r="A1" s="213" t="s">
        <v>112</v>
      </c>
      <c r="B1" s="214" t="s">
        <v>136</v>
      </c>
      <c r="C1" s="214" t="s">
        <v>137</v>
      </c>
      <c r="D1" s="218" t="s">
        <v>179</v>
      </c>
      <c r="E1" s="215" t="s">
        <v>139</v>
      </c>
    </row>
    <row r="2" spans="1:5" ht="15" customHeight="1">
      <c r="A2" s="7" t="s">
        <v>142</v>
      </c>
      <c r="B2" s="56"/>
      <c r="C2" s="56"/>
      <c r="D2" s="56"/>
      <c r="E2" s="216"/>
    </row>
    <row r="3" spans="1:5">
      <c r="A3" s="2" t="s">
        <v>141</v>
      </c>
      <c r="B3" t="s">
        <v>143</v>
      </c>
      <c r="C3">
        <v>2000</v>
      </c>
      <c r="D3">
        <v>2000</v>
      </c>
      <c r="E3" s="264">
        <f>SUM(D3:D8)/B30</f>
        <v>9.9371720966383831E-2</v>
      </c>
    </row>
    <row r="4" spans="1:5">
      <c r="A4" s="2" t="s">
        <v>180</v>
      </c>
      <c r="B4" t="s">
        <v>143</v>
      </c>
      <c r="C4">
        <v>1000</v>
      </c>
      <c r="D4">
        <v>1000</v>
      </c>
      <c r="E4" s="264"/>
    </row>
    <row r="5" spans="1:5">
      <c r="A5" s="2" t="s">
        <v>181</v>
      </c>
      <c r="B5" t="s">
        <v>143</v>
      </c>
      <c r="C5">
        <v>842</v>
      </c>
      <c r="D5">
        <v>842</v>
      </c>
      <c r="E5" s="264"/>
    </row>
    <row r="6" spans="1:5">
      <c r="A6" s="2" t="s">
        <v>182</v>
      </c>
      <c r="B6" t="s">
        <v>143</v>
      </c>
      <c r="C6">
        <v>3000</v>
      </c>
      <c r="D6">
        <v>3000</v>
      </c>
      <c r="E6" s="264"/>
    </row>
    <row r="7" spans="1:5">
      <c r="A7" s="2" t="s">
        <v>183</v>
      </c>
      <c r="B7" t="s">
        <v>143</v>
      </c>
      <c r="C7">
        <v>5500</v>
      </c>
      <c r="D7">
        <v>5500</v>
      </c>
      <c r="E7" s="264"/>
    </row>
    <row r="8" spans="1:5">
      <c r="A8" s="2" t="s">
        <v>144</v>
      </c>
      <c r="B8" t="s">
        <v>143</v>
      </c>
      <c r="C8">
        <v>5000</v>
      </c>
      <c r="D8">
        <v>3000</v>
      </c>
      <c r="E8" s="264"/>
    </row>
    <row r="9" spans="1:5" ht="15" customHeight="1">
      <c r="A9" s="7" t="s">
        <v>146</v>
      </c>
      <c r="B9" s="56"/>
      <c r="C9" s="56"/>
      <c r="D9" s="56"/>
      <c r="E9" s="219"/>
    </row>
    <row r="10" spans="1:5">
      <c r="A10" s="2" t="s">
        <v>184</v>
      </c>
      <c r="B10" t="s">
        <v>143</v>
      </c>
      <c r="C10">
        <v>4000</v>
      </c>
      <c r="D10">
        <v>4000</v>
      </c>
      <c r="E10" s="264">
        <f>SUM(D10:D11)/B30</f>
        <v>4.5339724075393481E-2</v>
      </c>
    </row>
    <row r="11" spans="1:5">
      <c r="A11" s="2" t="s">
        <v>148</v>
      </c>
      <c r="B11" t="s">
        <v>143</v>
      </c>
      <c r="C11">
        <v>3000</v>
      </c>
      <c r="D11">
        <v>3000</v>
      </c>
      <c r="E11" s="264"/>
    </row>
    <row r="12" spans="1:5">
      <c r="A12" s="7" t="s">
        <v>155</v>
      </c>
      <c r="B12" s="56"/>
      <c r="C12" s="56"/>
      <c r="D12" s="56"/>
      <c r="E12" s="219"/>
    </row>
    <row r="13" spans="1:5">
      <c r="A13" s="283" t="s">
        <v>196</v>
      </c>
      <c r="B13" s="287" t="s">
        <v>143</v>
      </c>
      <c r="C13" s="288">
        <f>'Wealth Projection'!C17</f>
        <v>44500</v>
      </c>
      <c r="D13" s="289">
        <f>C13</f>
        <v>44500</v>
      </c>
      <c r="E13" s="264">
        <f>D13/B30</f>
        <v>0.2882311030507157</v>
      </c>
    </row>
    <row r="14" spans="1:5">
      <c r="A14" s="284"/>
      <c r="B14" s="287"/>
      <c r="C14" s="290"/>
      <c r="D14" s="291"/>
      <c r="E14" s="264"/>
    </row>
    <row r="15" spans="1:5">
      <c r="A15" s="284"/>
      <c r="B15" s="287"/>
      <c r="C15" s="290"/>
      <c r="D15" s="291"/>
      <c r="E15" s="264"/>
    </row>
    <row r="16" spans="1:5">
      <c r="A16" s="7" t="s">
        <v>156</v>
      </c>
      <c r="B16" s="56"/>
      <c r="C16" s="56"/>
      <c r="D16" s="56"/>
      <c r="E16" s="219"/>
    </row>
    <row r="17" spans="1:5">
      <c r="A17" s="2" t="s">
        <v>198</v>
      </c>
      <c r="B17" t="s">
        <v>158</v>
      </c>
      <c r="C17">
        <v>2500</v>
      </c>
      <c r="D17">
        <f>C17</f>
        <v>2500</v>
      </c>
      <c r="E17" s="264">
        <f>SUM(D17:D20)/B30</f>
        <v>0.29146965477038667</v>
      </c>
    </row>
    <row r="18" spans="1:5">
      <c r="A18" s="2" t="s">
        <v>185</v>
      </c>
      <c r="B18" t="s">
        <v>143</v>
      </c>
      <c r="C18">
        <v>5000</v>
      </c>
      <c r="D18">
        <f>C18</f>
        <v>5000</v>
      </c>
      <c r="E18" s="264"/>
    </row>
    <row r="19" spans="1:5">
      <c r="A19" s="2" t="s">
        <v>157</v>
      </c>
      <c r="B19" t="s">
        <v>158</v>
      </c>
      <c r="C19">
        <v>25000</v>
      </c>
      <c r="D19">
        <f>C19</f>
        <v>25000</v>
      </c>
      <c r="E19" s="264"/>
    </row>
    <row r="20" spans="1:5">
      <c r="A20" s="2" t="s">
        <v>186</v>
      </c>
      <c r="B20" t="s">
        <v>151</v>
      </c>
      <c r="C20">
        <v>150000</v>
      </c>
      <c r="D20">
        <v>12500</v>
      </c>
      <c r="E20" s="264"/>
    </row>
    <row r="21" spans="1:5">
      <c r="A21" s="7" t="s">
        <v>159</v>
      </c>
      <c r="B21" s="56"/>
      <c r="C21" s="56"/>
      <c r="D21" s="56"/>
      <c r="E21" s="219"/>
    </row>
    <row r="22" spans="1:5">
      <c r="A22" s="2" t="s">
        <v>160</v>
      </c>
      <c r="B22" t="s">
        <v>143</v>
      </c>
      <c r="C22">
        <v>5000</v>
      </c>
      <c r="D22">
        <f>C22</f>
        <v>5000</v>
      </c>
      <c r="E22" s="264">
        <f>SUM(D22:D24)/B30</f>
        <v>9.7156551590128898E-2</v>
      </c>
    </row>
    <row r="23" spans="1:5">
      <c r="A23" s="2" t="s">
        <v>161</v>
      </c>
      <c r="B23" t="s">
        <v>143</v>
      </c>
      <c r="C23">
        <v>5000</v>
      </c>
      <c r="D23">
        <f>C23</f>
        <v>5000</v>
      </c>
      <c r="E23" s="264"/>
    </row>
    <row r="24" spans="1:5">
      <c r="A24" s="2" t="s">
        <v>187</v>
      </c>
      <c r="B24" t="s">
        <v>143</v>
      </c>
      <c r="C24">
        <v>5000</v>
      </c>
      <c r="D24">
        <v>5000</v>
      </c>
      <c r="E24" s="264"/>
    </row>
    <row r="25" spans="1:5" ht="16.5" thickBot="1">
      <c r="A25" s="62" t="s">
        <v>163</v>
      </c>
      <c r="B25" s="63"/>
      <c r="C25" s="63"/>
      <c r="D25" s="292">
        <f>SUM(D3:D24)</f>
        <v>126842</v>
      </c>
      <c r="E25" s="217">
        <f>SUM(E3:E24)</f>
        <v>0.82156875445300859</v>
      </c>
    </row>
    <row r="28" spans="1:5" ht="15.75" thickBot="1"/>
    <row r="29" spans="1:5" ht="15.75">
      <c r="A29" s="60" t="s">
        <v>112</v>
      </c>
      <c r="B29" s="61" t="s">
        <v>93</v>
      </c>
      <c r="C29" s="220" t="s">
        <v>188</v>
      </c>
    </row>
    <row r="30" spans="1:5">
      <c r="A30" s="23" t="s">
        <v>167</v>
      </c>
      <c r="B30" s="13">
        <v>154390</v>
      </c>
      <c r="C30" s="221">
        <v>1</v>
      </c>
    </row>
    <row r="31" spans="1:5">
      <c r="A31" s="23" t="s">
        <v>168</v>
      </c>
      <c r="B31" s="13">
        <f>B30-D25</f>
        <v>27548</v>
      </c>
      <c r="C31" s="221">
        <f>B31/B30</f>
        <v>0.17843124554699138</v>
      </c>
    </row>
  </sheetData>
  <mergeCells count="9">
    <mergeCell ref="D13:D15"/>
    <mergeCell ref="E13:E15"/>
    <mergeCell ref="A13:A15"/>
    <mergeCell ref="B13:B15"/>
    <mergeCell ref="C13:C15"/>
    <mergeCell ref="E3:E8"/>
    <mergeCell ref="E10:E11"/>
    <mergeCell ref="E17:E20"/>
    <mergeCell ref="E22: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Savings</vt:lpstr>
      <vt:lpstr>Wealth Projection</vt:lpstr>
      <vt:lpstr>Fixed Expenses</vt:lpstr>
      <vt:lpstr>Husband_Expenses</vt:lpstr>
      <vt:lpstr>Wife_Expenses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Suryadip Basu</cp:lastModifiedBy>
  <cp:revision/>
  <dcterms:created xsi:type="dcterms:W3CDTF">2022-09-11T18:38:25Z</dcterms:created>
  <dcterms:modified xsi:type="dcterms:W3CDTF">2026-09-10T07:59:03Z</dcterms:modified>
  <cp:category/>
  <cp:contentStatus/>
</cp:coreProperties>
</file>